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na\OneDrive\Desktop\Kerja\Cakra Mahkota Sdn Bhd\Gerak Kerja\JKR_FM_Guide\Directory\Purchase Order\"/>
    </mc:Choice>
  </mc:AlternateContent>
  <xr:revisionPtr revIDLastSave="0" documentId="13_ncr:1_{8AD43D2E-CFFD-49BE-8A6C-6E44924FB82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46" sheetId="5" r:id="rId1"/>
    <sheet name="047" sheetId="6" r:id="rId2"/>
    <sheet name="051" sheetId="7" r:id="rId3"/>
  </sheets>
  <definedNames>
    <definedName name="_xlnm.Print_Area" localSheetId="0">'046'!$A$1:$J$71</definedName>
    <definedName name="_xlnm.Print_Area" localSheetId="1">'047'!$A$1:$J$156</definedName>
    <definedName name="_xlnm.Print_Area" localSheetId="2">'051'!$A$1:$J$68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2" i="5" l="1"/>
  <c r="I40" i="5"/>
  <c r="I27" i="5"/>
  <c r="I28" i="5"/>
  <c r="I29" i="5"/>
  <c r="I30" i="5"/>
  <c r="I31" i="5"/>
  <c r="I32" i="5"/>
  <c r="I33" i="5"/>
  <c r="I34" i="5"/>
  <c r="I35" i="5"/>
  <c r="I36" i="5"/>
  <c r="I37" i="5"/>
  <c r="I38" i="5"/>
  <c r="I26" i="5"/>
</calcChain>
</file>

<file path=xl/sharedStrings.xml><?xml version="1.0" encoding="utf-8"?>
<sst xmlns="http://schemas.openxmlformats.org/spreadsheetml/2006/main" count="385" uniqueCount="233">
  <si>
    <t>PURCHASE ORDER</t>
  </si>
  <si>
    <t>DATE</t>
  </si>
  <si>
    <t>PO #</t>
  </si>
  <si>
    <t>TERM</t>
  </si>
  <si>
    <t>30 DAYS</t>
  </si>
  <si>
    <t>VENDOR</t>
  </si>
  <si>
    <t>DELIVER TO</t>
  </si>
  <si>
    <r>
      <rPr>
        <sz val="14"/>
        <rFont val="Verdana"/>
        <family val="2"/>
      </rPr>
      <t>Email:</t>
    </r>
    <r>
      <rPr>
        <sz val="14"/>
        <color rgb="FF002060"/>
        <rFont val="Verdana"/>
        <family val="2"/>
      </rPr>
      <t xml:space="preserve"> </t>
    </r>
  </si>
  <si>
    <t xml:space="preserve">Email: </t>
  </si>
  <si>
    <t xml:space="preserve">Tel: </t>
  </si>
  <si>
    <t>Attn :</t>
  </si>
  <si>
    <t>NO.</t>
  </si>
  <si>
    <t>QTY</t>
  </si>
  <si>
    <t>UNIT PRICE (RM)</t>
  </si>
  <si>
    <t>PRICE (RM)</t>
  </si>
  <si>
    <t>Amount carried over to the next page (if any)</t>
  </si>
  <si>
    <t>Comments or Special Instructions</t>
  </si>
  <si>
    <t>…………....…………….………………………</t>
  </si>
  <si>
    <t>……….…..……………………………..</t>
  </si>
  <si>
    <t xml:space="preserve">Date: </t>
  </si>
  <si>
    <t xml:space="preserve"> </t>
  </si>
  <si>
    <t>Checked By :</t>
  </si>
  <si>
    <t xml:space="preserve">Date : </t>
  </si>
  <si>
    <t>Verified By :</t>
  </si>
  <si>
    <t>Approved By :</t>
  </si>
  <si>
    <t>DESCRIPTION</t>
  </si>
  <si>
    <t xml:space="preserve"> Prepared By:</t>
  </si>
  <si>
    <t xml:space="preserve">DESCRIPTION : </t>
  </si>
  <si>
    <t xml:space="preserve">Tel    : </t>
  </si>
  <si>
    <t>1</t>
  </si>
  <si>
    <t xml:space="preserve">Attn : </t>
  </si>
  <si>
    <r>
      <t xml:space="preserve">   </t>
    </r>
    <r>
      <rPr>
        <b/>
        <sz val="20"/>
        <color rgb="FF00FF00"/>
        <rFont val="Verdana"/>
        <family val="2"/>
      </rPr>
      <t xml:space="preserve"> </t>
    </r>
    <r>
      <rPr>
        <b/>
        <sz val="20"/>
        <color rgb="FF7FCC0E"/>
        <rFont val="Verdana"/>
        <family val="2"/>
      </rPr>
      <t>CAKRA MAKOTA SDN BHD</t>
    </r>
  </si>
  <si>
    <t>CAKRA MAKOTA SDN BHD</t>
  </si>
  <si>
    <t>NO. 138, TINGKAT 2, BLOK 4,</t>
  </si>
  <si>
    <t>PUSAT PERNIAGAAN WORLDWIDE</t>
  </si>
  <si>
    <t>JALAN KERATE 14/47, SEKSYEN 13,</t>
  </si>
  <si>
    <t>40675 SHAH ALAM, SELANGOR</t>
  </si>
  <si>
    <t>PEJABAT PENGURUSAN FASILITI</t>
  </si>
  <si>
    <t xml:space="preserve">MENARA KERJA RAYA (BLOK G), </t>
  </si>
  <si>
    <t>IBU PEJABAT JKR MALAYSIA,</t>
  </si>
  <si>
    <t>cakramakota.sb@gmail.com</t>
  </si>
  <si>
    <t>03-6209 4838</t>
  </si>
  <si>
    <t>JALAN SULTAN SALAHUDDIN,</t>
  </si>
  <si>
    <t>62574 KUALA LUMPUR.</t>
  </si>
  <si>
    <t>SELANGOR.</t>
  </si>
  <si>
    <t>STATIONERY</t>
  </si>
  <si>
    <t>2</t>
  </si>
  <si>
    <t>3</t>
  </si>
  <si>
    <t>Date:</t>
  </si>
  <si>
    <t>EN. MUHD NASRUL</t>
  </si>
  <si>
    <t>DISCOUNT</t>
  </si>
  <si>
    <t>CMSB/07/2026/M-0046</t>
  </si>
  <si>
    <t>SPA 1020</t>
  </si>
  <si>
    <t>SPA 1115</t>
  </si>
  <si>
    <t>ABS 25MM ELBOW</t>
  </si>
  <si>
    <t>ABS 25MM SOCKET</t>
  </si>
  <si>
    <t>ABS 25MM VALVE SOCKET</t>
  </si>
  <si>
    <t>ABS 25MM PT SOCKET</t>
  </si>
  <si>
    <t>4</t>
  </si>
  <si>
    <t>5</t>
  </si>
  <si>
    <t>6</t>
  </si>
  <si>
    <t>7</t>
  </si>
  <si>
    <t>ABS 25MM END CAP</t>
  </si>
  <si>
    <t>ABS 25MM PIPE (4 FEET)</t>
  </si>
  <si>
    <t>ABS 32MM END CAP</t>
  </si>
  <si>
    <t>8</t>
  </si>
  <si>
    <t>9</t>
  </si>
  <si>
    <t>10</t>
  </si>
  <si>
    <t>11</t>
  </si>
  <si>
    <t>12</t>
  </si>
  <si>
    <t>13</t>
  </si>
  <si>
    <t>ABS 32MM SOCKET</t>
  </si>
  <si>
    <t>ABS 32MM ELBOW</t>
  </si>
  <si>
    <t>ABS 32MM PIPE (5.8M)</t>
  </si>
  <si>
    <t>OMRON MK2P-I 24VAC RELAY</t>
  </si>
  <si>
    <t>TWO ADVANCED SDN BHD</t>
  </si>
  <si>
    <t xml:space="preserve"> 27, JALAN 2, TAMAN GEMBIRA,</t>
  </si>
  <si>
    <t>43500 SEMENYIH,</t>
  </si>
  <si>
    <t>012-3839073</t>
  </si>
  <si>
    <t>MR/MRS YH WONG</t>
  </si>
  <si>
    <t>CARRIER (MALAYSIA) SDN BHD</t>
  </si>
  <si>
    <t>NO. 10-F1, 10th FLOOR, TOWER 5@PFCC,</t>
  </si>
  <si>
    <t>JALAN PUTERI 1/2, BANDAR PUTERI,</t>
  </si>
  <si>
    <t>47100 PUCHONG, SELANGOR DARUL EHSAN</t>
  </si>
  <si>
    <t>MS PORKKODI A/P SUKAMARAN</t>
  </si>
  <si>
    <t>013-3333147</t>
  </si>
  <si>
    <t>CARRIER 19XR Series CH 3</t>
  </si>
  <si>
    <t>Model: 19XR Frame 4 S/N: XR4L4138</t>
  </si>
  <si>
    <t>Supply labour, tools and material to perform repair work as per below scope of works:</t>
  </si>
  <si>
    <t>Materials required for repair work for CH3:</t>
  </si>
  <si>
    <t>Recovery cylinder rental (60kg)</t>
  </si>
  <si>
    <t>Nitrogen</t>
  </si>
  <si>
    <t>O-ring</t>
  </si>
  <si>
    <t>ICVC board</t>
  </si>
  <si>
    <t>Guide vane actuator motor</t>
  </si>
  <si>
    <t>Chain and sprocket assembly</t>
  </si>
  <si>
    <t>Temperature sensor</t>
  </si>
  <si>
    <t>Diffuser actuator motor</t>
  </si>
  <si>
    <t>ISM board</t>
  </si>
  <si>
    <t>Refrigerant - 60kg cylinder</t>
  </si>
  <si>
    <t>Soft starter</t>
  </si>
  <si>
    <t>12 cyls</t>
  </si>
  <si>
    <t>1 Lot</t>
  </si>
  <si>
    <t>2 pc</t>
  </si>
  <si>
    <t>1 pc</t>
  </si>
  <si>
    <t>1 set</t>
  </si>
  <si>
    <t>4 pc</t>
  </si>
  <si>
    <t>3 cyls</t>
  </si>
  <si>
    <t>Below are the tools and labours to perform the schedule repair works</t>
  </si>
  <si>
    <t>To pump out refrigerant into recovery empty cylinders</t>
  </si>
  <si>
    <t>To pressurize system with nitrogen and check leak</t>
  </si>
  <si>
    <t>To vacuum system</t>
  </si>
  <si>
    <t>To charge-in back refrigerant into system</t>
  </si>
  <si>
    <t>Top-up refrigerant if there is any refrigerant loss</t>
  </si>
  <si>
    <t>Calibration of chiller transducer</t>
  </si>
  <si>
    <t>Replace oil pump and bearing terminal O-ring</t>
  </si>
  <si>
    <t>To supply and replace diffuser actuator motor</t>
  </si>
  <si>
    <t>Replace guide vane actuator motor</t>
  </si>
  <si>
    <t>Replace set of chain and sprocket</t>
  </si>
  <si>
    <t>A</t>
  </si>
  <si>
    <t>1.00</t>
  </si>
  <si>
    <t>1.01</t>
  </si>
  <si>
    <t>1.02</t>
  </si>
  <si>
    <t>1.03</t>
  </si>
  <si>
    <t>1.04</t>
  </si>
  <si>
    <t>1.05</t>
  </si>
  <si>
    <t>1.06</t>
  </si>
  <si>
    <t>1.07</t>
  </si>
  <si>
    <t>1.08</t>
  </si>
  <si>
    <t>1.09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</si>
  <si>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</si>
  <si>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</si>
  <si>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</si>
  <si>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</si>
  <si>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</si>
  <si>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</si>
  <si>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</si>
  <si>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</si>
  <si>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</si>
  <si>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</si>
  <si>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</si>
  <si>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</si>
  <si>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To replace ICVC board c/w setting configuration work</t>
  </si>
  <si>
    <t>To install new soft starter for chiller incoming power supply</t>
  </si>
  <si>
    <t>To carry out existing chiller insulation replacement work</t>
  </si>
  <si>
    <t>Transportation and mobilization of manpower</t>
  </si>
  <si>
    <t>Testing and re-commissioning of chiller</t>
  </si>
  <si>
    <t>Replace chilled &amp; condenser water temperature sensors</t>
  </si>
  <si>
    <t>1.22</t>
  </si>
  <si>
    <t>1.23</t>
  </si>
  <si>
    <t>1.24</t>
  </si>
  <si>
    <t>1.25</t>
  </si>
  <si>
    <t>1.26</t>
  </si>
  <si>
    <t>1.27</t>
  </si>
  <si>
    <t>A:Total price without SST</t>
  </si>
  <si>
    <t>A:SST 8% for labour only</t>
  </si>
  <si>
    <t>A: Total price with SST</t>
  </si>
  <si>
    <t>B</t>
  </si>
  <si>
    <t>Supply labour, tools and materiasl to perform annual oil change as per below scope of works:</t>
  </si>
  <si>
    <t>Materials required for annual shutdown for CH3</t>
  </si>
  <si>
    <t>Oil filter</t>
  </si>
  <si>
    <t>Oil strainer</t>
  </si>
  <si>
    <t>Compressor oil (18L)</t>
  </si>
  <si>
    <t>Compressor oil (4L)</t>
  </si>
  <si>
    <t>Nylon brush</t>
  </si>
  <si>
    <t>Filter drier core 5/8'</t>
  </si>
  <si>
    <t>Filter drier core 3/8''</t>
  </si>
  <si>
    <t>2 drum</t>
  </si>
  <si>
    <t>3 pc</t>
  </si>
  <si>
    <t>Below are the tools and labours to perform annual shutdown works:</t>
  </si>
  <si>
    <t>To pump down refrigerant into condenser vessel</t>
  </si>
  <si>
    <t>To drain out and contain used compressor oil</t>
  </si>
  <si>
    <t>To replace filters and filter drier</t>
  </si>
  <si>
    <t>To perform condenser tubes cleaning by opening one side of the condenser vessel end cover</t>
  </si>
  <si>
    <t>To pressurize system using nitrogen and check for leaks</t>
  </si>
  <si>
    <t>To vacuum system and charge in new compressor oil</t>
  </si>
  <si>
    <t>To recalibrate all temperature sensors and pressure transducers</t>
  </si>
  <si>
    <t>Testing and recommissioning of chiller</t>
  </si>
  <si>
    <t>B:Total price without SST</t>
  </si>
  <si>
    <t>B:SST 8% for labour only</t>
  </si>
  <si>
    <t>B: Total price with SST</t>
  </si>
  <si>
    <t>C</t>
  </si>
  <si>
    <t>Supply labour, tools and materials to perform compressor overhaul as per below scope of works:</t>
  </si>
  <si>
    <t>Materials required for compressor overhaul for CH3</t>
  </si>
  <si>
    <t>High speed roller bearing</t>
  </si>
  <si>
    <t>Low speed bearing</t>
  </si>
  <si>
    <t>Inner diffuser</t>
  </si>
  <si>
    <t>Inner ring shaft roller</t>
  </si>
  <si>
    <t>3 pcs</t>
  </si>
  <si>
    <t>Roller</t>
  </si>
  <si>
    <t>Shaft bearing</t>
  </si>
  <si>
    <t>Impeller shim</t>
  </si>
  <si>
    <t>O-ring and gasket</t>
  </si>
  <si>
    <t>Transducer &amp; transducer cable</t>
  </si>
  <si>
    <t>Bearing temperature sensor</t>
  </si>
  <si>
    <t>service and revarnish motor stator coil &amp; rotor balancing</t>
  </si>
  <si>
    <t>Below are the tools and labours to perform compressor overhaul works:</t>
  </si>
  <si>
    <t>3.12</t>
  </si>
  <si>
    <t>Dismantle float chamber and service</t>
  </si>
  <si>
    <t>3.13</t>
  </si>
  <si>
    <t>Replace bearings, inner diffuser, ring shaft roller, shim</t>
  </si>
  <si>
    <t>3.14</t>
  </si>
  <si>
    <t>Replace bearing temperature sensor, impeller</t>
  </si>
  <si>
    <t>3.15</t>
  </si>
  <si>
    <t>Supply and replace O-ring and gaskets</t>
  </si>
  <si>
    <t>3.16</t>
  </si>
  <si>
    <t>To reassemble compressor</t>
  </si>
  <si>
    <t>3.17</t>
  </si>
  <si>
    <t>Oil pump service</t>
  </si>
  <si>
    <t>3.18</t>
  </si>
  <si>
    <t>Supply and replace transducer and transducer cable</t>
  </si>
  <si>
    <t>3.19</t>
  </si>
  <si>
    <t>Pressurize the system with nitrogen and carry out leak</t>
  </si>
  <si>
    <t>Testing and commissioning</t>
  </si>
  <si>
    <t>3.00</t>
  </si>
  <si>
    <t>3.10</t>
  </si>
  <si>
    <t>3.20</t>
  </si>
  <si>
    <t>C:Total price without SST</t>
  </si>
  <si>
    <t>C:SST 8% labour only</t>
  </si>
  <si>
    <t>C: Total price with SST</t>
  </si>
  <si>
    <t>(A+B+C) Total price without SST</t>
  </si>
  <si>
    <t>Special discount on parts (3%)</t>
  </si>
  <si>
    <t>(A+B+C) Total price after discount</t>
  </si>
  <si>
    <t>(A+B+C) SST 8%</t>
  </si>
  <si>
    <t>(A+B+C) Total price with SST</t>
  </si>
  <si>
    <t>CMSB/07/2026/M-0047</t>
  </si>
  <si>
    <t>Term Payment : Deed Of Assignment</t>
  </si>
  <si>
    <t>(Security for direct payments from a third party)</t>
  </si>
  <si>
    <t>MECHANICAL</t>
  </si>
  <si>
    <t>CARRIER 19XR SerCARRIER 19XR- Series Chiller 2ies CH 3</t>
  </si>
  <si>
    <t>Material needed for repair work</t>
  </si>
  <si>
    <t>Below are the tools and labours to perform the schedule repair works:</t>
  </si>
  <si>
    <t>CMSB/2026/PO-0053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</si>
</sst>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dd\/mm\/yyyy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40"/>
      <name val="Nyala"/>
    </font>
    <font>
      <sz val="14"/>
      <name val="Verdana"/>
      <family val="2"/>
    </font>
    <font>
      <b/>
      <sz val="14"/>
      <name val="Nyala"/>
    </font>
    <font>
      <sz val="14"/>
      <color theme="1"/>
      <name val="Calibri"/>
      <family val="2"/>
      <scheme val="minor"/>
    </font>
    <font>
      <b/>
      <sz val="14"/>
      <name val="Verdana"/>
      <family val="2"/>
    </font>
    <font>
      <sz val="14"/>
      <color theme="1"/>
      <name val="Verdana"/>
      <family val="2"/>
    </font>
    <font>
      <b/>
      <sz val="14"/>
      <color theme="0"/>
      <name val="Verdana"/>
      <family val="2"/>
    </font>
    <font>
      <sz val="14"/>
      <color theme="0"/>
      <name val="Verdana"/>
      <family val="2"/>
    </font>
    <font>
      <b/>
      <sz val="14"/>
      <color theme="1"/>
      <name val="Verdana"/>
      <family val="2"/>
    </font>
    <font>
      <sz val="14"/>
      <color rgb="FF002060"/>
      <name val="Verdana"/>
      <family val="2"/>
    </font>
    <font>
      <u/>
      <sz val="8.8000000000000007"/>
      <color theme="10"/>
      <name val="Calibri"/>
      <family val="2"/>
    </font>
    <font>
      <u/>
      <sz val="14"/>
      <color rgb="FF0070C0"/>
      <name val="Verdana"/>
      <family val="2"/>
    </font>
    <font>
      <sz val="9"/>
      <name val="Calibri"/>
      <family val="2"/>
      <scheme val="minor"/>
    </font>
    <font>
      <sz val="16"/>
      <name val="Calibri"/>
      <family val="2"/>
      <scheme val="minor"/>
    </font>
    <font>
      <b/>
      <sz val="12"/>
      <name val="Verdana"/>
      <family val="2"/>
    </font>
    <font>
      <sz val="14"/>
      <color rgb="FFFF0000"/>
      <name val="Verdana"/>
      <family val="2"/>
    </font>
    <font>
      <sz val="10"/>
      <name val="Calibri"/>
      <family val="2"/>
      <scheme val="minor"/>
    </font>
    <font>
      <sz val="14"/>
      <color theme="0" tint="-0.34998626667073579"/>
      <name val="Bodoni MT"/>
      <family val="1"/>
    </font>
    <font>
      <sz val="14"/>
      <name val="Calibri"/>
      <family val="2"/>
      <scheme val="minor"/>
    </font>
    <font>
      <b/>
      <sz val="20"/>
      <color rgb="FF336600"/>
      <name val="Verdana"/>
      <family val="2"/>
    </font>
    <font>
      <b/>
      <sz val="12"/>
      <color theme="0"/>
      <name val="Verdana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Verdana"/>
      <family val="2"/>
    </font>
    <font>
      <sz val="12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2"/>
      <color theme="1"/>
      <name val="Verdana"/>
      <family val="2"/>
    </font>
    <font>
      <sz val="8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14"/>
      <color rgb="FF000000"/>
      <name val="Verdana"/>
      <family val="2"/>
    </font>
    <font>
      <b/>
      <sz val="16"/>
      <name val="Verdana"/>
      <family val="2"/>
    </font>
    <font>
      <b/>
      <u val="doubleAccounting"/>
      <sz val="14"/>
      <color theme="1"/>
      <name val="Verdana"/>
      <family val="2"/>
    </font>
    <font>
      <b/>
      <sz val="20"/>
      <color rgb="FF00FF00"/>
      <name val="Verdana"/>
      <family val="2"/>
    </font>
    <font>
      <b/>
      <sz val="20"/>
      <color rgb="FF7FCC0E"/>
      <name val="Verdana"/>
      <family val="2"/>
    </font>
    <font>
      <b/>
      <sz val="26"/>
      <color rgb="FF7FCC0E"/>
      <name val="Verdana"/>
      <family val="2"/>
    </font>
    <font>
      <b/>
      <sz val="16"/>
      <color theme="0"/>
      <name val="Calibri"/>
      <family val="2"/>
      <scheme val="minor"/>
    </font>
    <font>
      <sz val="14"/>
      <color rgb="FF000000"/>
      <name val="Verdana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u/>
      <sz val="11"/>
      <color theme="1"/>
      <name val="Trebuchet MS"/>
      <family val="2"/>
    </font>
    <font>
      <b/>
      <u/>
      <sz val="14"/>
      <color theme="1"/>
      <name val="Verdana"/>
      <family val="2"/>
    </font>
    <font>
      <b/>
      <u/>
      <sz val="14"/>
      <name val="Verdana"/>
      <family val="2"/>
    </font>
    <font>
      <u/>
      <sz val="14"/>
      <color theme="1"/>
      <name val="Verdana"/>
      <family val="2"/>
    </font>
    <font>
      <b/>
      <u val="double"/>
      <sz val="14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FCC0E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6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21">
    <xf numFmtId="0" fontId="0" fillId="0" borderId="0" xfId="0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1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7" fillId="0" borderId="0" xfId="1" applyFont="1" applyAlignment="1">
      <alignment vertical="center"/>
    </xf>
    <xf numFmtId="0" fontId="11" fillId="0" borderId="0" xfId="0" applyFont="1"/>
    <xf numFmtId="0" fontId="4" fillId="0" borderId="0" xfId="1" applyFont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4" fillId="0" borderId="0" xfId="2" applyFont="1" applyAlignment="1" applyProtection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5" fillId="0" borderId="0" xfId="1" applyFont="1" applyAlignment="1">
      <alignment vertical="center"/>
    </xf>
    <xf numFmtId="0" fontId="7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4" fontId="7" fillId="0" borderId="0" xfId="1" applyNumberFormat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vertical="center"/>
    </xf>
    <xf numFmtId="0" fontId="6" fillId="0" borderId="12" xfId="0" applyFont="1" applyBorder="1"/>
    <xf numFmtId="0" fontId="8" fillId="0" borderId="0" xfId="0" applyFont="1" applyAlignment="1">
      <alignment horizontal="left" vertical="center"/>
    </xf>
    <xf numFmtId="0" fontId="15" fillId="0" borderId="0" xfId="1" applyFont="1"/>
    <xf numFmtId="0" fontId="19" fillId="0" borderId="0" xfId="1" applyFont="1"/>
    <xf numFmtId="0" fontId="20" fillId="0" borderId="0" xfId="0" applyFont="1" applyAlignment="1">
      <alignment vertical="center"/>
    </xf>
    <xf numFmtId="0" fontId="21" fillId="0" borderId="0" xfId="1" applyFont="1"/>
    <xf numFmtId="0" fontId="0" fillId="0" borderId="0" xfId="0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9" fillId="2" borderId="0" xfId="1" applyFont="1" applyFill="1"/>
    <xf numFmtId="49" fontId="26" fillId="0" borderId="9" xfId="1" applyNumberFormat="1" applyFont="1" applyBorder="1" applyAlignment="1">
      <alignment horizontal="center" vertical="center"/>
    </xf>
    <xf numFmtId="2" fontId="27" fillId="0" borderId="9" xfId="0" applyNumberFormat="1" applyFont="1" applyBorder="1" applyAlignment="1">
      <alignment horizontal="center" vertical="center"/>
    </xf>
    <xf numFmtId="164" fontId="17" fillId="0" borderId="1" xfId="3" applyFont="1" applyFill="1" applyBorder="1" applyAlignment="1">
      <alignment horizontal="right" vertical="center"/>
    </xf>
    <xf numFmtId="0" fontId="26" fillId="0" borderId="0" xfId="1" applyFont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31" fillId="0" borderId="0" xfId="4" applyFont="1" applyAlignment="1" applyProtection="1">
      <alignment vertical="center"/>
    </xf>
    <xf numFmtId="49" fontId="4" fillId="0" borderId="9" xfId="1" applyNumberFormat="1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164" fontId="32" fillId="0" borderId="9" xfId="3" applyFont="1" applyFill="1" applyBorder="1" applyAlignment="1">
      <alignment horizontal="right" vertical="center"/>
    </xf>
    <xf numFmtId="0" fontId="26" fillId="0" borderId="7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18" fillId="0" borderId="0" xfId="1" applyFont="1" applyAlignment="1">
      <alignment horizontal="left" vertical="center"/>
    </xf>
    <xf numFmtId="4" fontId="4" fillId="0" borderId="0" xfId="1" applyNumberFormat="1" applyFont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18" fillId="0" borderId="7" xfId="1" applyFont="1" applyBorder="1" applyAlignment="1">
      <alignment horizontal="center" vertical="center"/>
    </xf>
    <xf numFmtId="0" fontId="9" fillId="2" borderId="8" xfId="1" applyFont="1" applyFill="1" applyBorder="1" applyAlignment="1">
      <alignment vertical="center"/>
    </xf>
    <xf numFmtId="0" fontId="9" fillId="2" borderId="13" xfId="1" applyFont="1" applyFill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0" borderId="8" xfId="1" applyFont="1" applyBorder="1" applyAlignment="1">
      <alignment vertical="center" wrapText="1"/>
    </xf>
    <xf numFmtId="164" fontId="8" fillId="0" borderId="9" xfId="5" applyFont="1" applyBorder="1" applyAlignment="1">
      <alignment horizontal="right" vertical="center"/>
    </xf>
    <xf numFmtId="164" fontId="34" fillId="0" borderId="0" xfId="0" applyNumberFormat="1" applyFont="1" applyAlignment="1">
      <alignment horizontal="right" vertical="center"/>
    </xf>
    <xf numFmtId="0" fontId="9" fillId="3" borderId="0" xfId="1" applyFont="1" applyFill="1"/>
    <xf numFmtId="0" fontId="23" fillId="4" borderId="1" xfId="1" applyFont="1" applyFill="1" applyBorder="1" applyAlignment="1">
      <alignment horizontal="center" vertical="center"/>
    </xf>
    <xf numFmtId="0" fontId="8" fillId="2" borderId="0" xfId="0" applyFont="1" applyFill="1"/>
    <xf numFmtId="0" fontId="4" fillId="2" borderId="0" xfId="1" applyFont="1" applyFill="1" applyAlignment="1">
      <alignment horizontal="center"/>
    </xf>
    <xf numFmtId="0" fontId="9" fillId="3" borderId="3" xfId="1" applyFont="1" applyFill="1" applyBorder="1" applyAlignment="1">
      <alignment vertical="center"/>
    </xf>
    <xf numFmtId="0" fontId="23" fillId="4" borderId="1" xfId="1" applyFont="1" applyFill="1" applyBorder="1" applyAlignment="1">
      <alignment horizontal="center" vertical="center" wrapText="1"/>
    </xf>
    <xf numFmtId="0" fontId="26" fillId="0" borderId="0" xfId="1" applyFont="1" applyAlignment="1">
      <alignment vertical="center"/>
    </xf>
    <xf numFmtId="164" fontId="39" fillId="0" borderId="1" xfId="3" applyFont="1" applyFill="1" applyBorder="1" applyAlignment="1">
      <alignment horizontal="right" vertical="center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164" fontId="8" fillId="0" borderId="9" xfId="5" applyFont="1" applyBorder="1" applyAlignment="1">
      <alignment horizontal="left" vertical="center"/>
    </xf>
    <xf numFmtId="164" fontId="32" fillId="0" borderId="9" xfId="3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4" fillId="0" borderId="7" xfId="1" applyNumberFormat="1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41" fillId="0" borderId="0" xfId="0" applyFont="1" applyAlignment="1">
      <alignment horizontal="right" vertical="center" wrapText="1"/>
    </xf>
    <xf numFmtId="0" fontId="41" fillId="0" borderId="16" xfId="0" applyFont="1" applyBorder="1" applyAlignment="1">
      <alignment horizontal="right" vertical="center" wrapText="1"/>
    </xf>
    <xf numFmtId="164" fontId="8" fillId="0" borderId="7" xfId="5" applyFont="1" applyBorder="1" applyAlignment="1">
      <alignment horizontal="right" vertical="center"/>
    </xf>
    <xf numFmtId="0" fontId="41" fillId="0" borderId="8" xfId="0" applyFont="1" applyBorder="1" applyAlignment="1">
      <alignment horizontal="right" vertical="center" wrapText="1"/>
    </xf>
    <xf numFmtId="0" fontId="11" fillId="0" borderId="7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right" vertical="center" wrapText="1"/>
    </xf>
    <xf numFmtId="2" fontId="11" fillId="0" borderId="7" xfId="0" applyNumberFormat="1" applyFont="1" applyBorder="1" applyAlignment="1">
      <alignment horizontal="center" vertical="center" wrapText="1"/>
    </xf>
    <xf numFmtId="49" fontId="7" fillId="0" borderId="9" xfId="1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44" fillId="0" borderId="7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right" vertical="center" wrapText="1"/>
    </xf>
    <xf numFmtId="0" fontId="8" fillId="0" borderId="14" xfId="0" applyFont="1" applyBorder="1" applyAlignment="1">
      <alignment vertical="center" wrapText="1"/>
    </xf>
    <xf numFmtId="4" fontId="8" fillId="0" borderId="14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4" fontId="42" fillId="0" borderId="9" xfId="0" applyNumberFormat="1" applyFont="1" applyBorder="1" applyAlignment="1">
      <alignment horizontal="right" wrapText="1" indent="1"/>
    </xf>
    <xf numFmtId="4" fontId="45" fillId="0" borderId="9" xfId="0" applyNumberFormat="1" applyFont="1" applyBorder="1" applyAlignment="1">
      <alignment horizontal="center" wrapText="1"/>
    </xf>
    <xf numFmtId="4" fontId="43" fillId="0" borderId="9" xfId="0" applyNumberFormat="1" applyFont="1" applyBorder="1" applyAlignment="1">
      <alignment horizontal="center" wrapText="1"/>
    </xf>
    <xf numFmtId="4" fontId="8" fillId="0" borderId="9" xfId="0" applyNumberFormat="1" applyFont="1" applyBorder="1" applyAlignment="1">
      <alignment horizontal="center" vertical="center" wrapText="1"/>
    </xf>
    <xf numFmtId="4" fontId="45" fillId="0" borderId="9" xfId="0" applyNumberFormat="1" applyFont="1" applyBorder="1" applyAlignment="1">
      <alignment horizontal="center" vertical="center" wrapText="1"/>
    </xf>
    <xf numFmtId="4" fontId="46" fillId="0" borderId="9" xfId="0" applyNumberFormat="1" applyFont="1" applyBorder="1" applyAlignment="1">
      <alignment horizontal="center" vertical="center" wrapText="1"/>
    </xf>
    <xf numFmtId="164" fontId="32" fillId="0" borderId="18" xfId="3" applyFont="1" applyFill="1" applyBorder="1" applyAlignment="1">
      <alignment horizontal="right" vertical="center"/>
    </xf>
    <xf numFmtId="0" fontId="4" fillId="0" borderId="7" xfId="1" applyFont="1" applyBorder="1" applyAlignment="1">
      <alignment horizontal="left" vertical="center"/>
    </xf>
    <xf numFmtId="4" fontId="45" fillId="0" borderId="14" xfId="0" applyNumberFormat="1" applyFont="1" applyBorder="1" applyAlignment="1">
      <alignment horizontal="center" wrapText="1"/>
    </xf>
    <xf numFmtId="4" fontId="43" fillId="0" borderId="14" xfId="0" applyNumberFormat="1" applyFont="1" applyBorder="1" applyAlignment="1">
      <alignment horizontal="center" wrapText="1"/>
    </xf>
    <xf numFmtId="4" fontId="42" fillId="0" borderId="9" xfId="0" applyNumberFormat="1" applyFont="1" applyBorder="1" applyAlignment="1">
      <alignment horizontal="center" wrapText="1"/>
    </xf>
    <xf numFmtId="164" fontId="32" fillId="0" borderId="9" xfId="3" applyFont="1" applyFill="1" applyBorder="1" applyAlignment="1">
      <alignment horizontal="center" vertical="center"/>
    </xf>
    <xf numFmtId="4" fontId="8" fillId="0" borderId="15" xfId="0" applyNumberFormat="1" applyFont="1" applyBorder="1" applyAlignment="1">
      <alignment horizontal="center" vertical="center" wrapText="1"/>
    </xf>
    <xf numFmtId="2" fontId="8" fillId="0" borderId="14" xfId="0" applyNumberFormat="1" applyFont="1" applyBorder="1" applyAlignment="1">
      <alignment horizontal="center" vertical="center" wrapText="1"/>
    </xf>
    <xf numFmtId="2" fontId="8" fillId="0" borderId="15" xfId="0" applyNumberFormat="1" applyFont="1" applyBorder="1" applyAlignment="1">
      <alignment horizontal="center" vertical="center" wrapText="1"/>
    </xf>
    <xf numFmtId="2" fontId="8" fillId="0" borderId="9" xfId="0" applyNumberFormat="1" applyFont="1" applyBorder="1" applyAlignment="1">
      <alignment horizontal="center" vertical="center" wrapText="1"/>
    </xf>
    <xf numFmtId="2" fontId="45" fillId="0" borderId="9" xfId="0" applyNumberFormat="1" applyFont="1" applyBorder="1" applyAlignment="1">
      <alignment horizontal="center" wrapText="1"/>
    </xf>
    <xf numFmtId="49" fontId="4" fillId="0" borderId="18" xfId="1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 wrapText="1"/>
    </xf>
    <xf numFmtId="164" fontId="8" fillId="0" borderId="18" xfId="5" applyFont="1" applyBorder="1" applyAlignment="1">
      <alignment horizontal="right" vertical="center"/>
    </xf>
    <xf numFmtId="164" fontId="32" fillId="0" borderId="18" xfId="3" applyFont="1" applyFill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164" fontId="8" fillId="0" borderId="19" xfId="5" applyFont="1" applyBorder="1" applyAlignment="1">
      <alignment horizontal="right" vertical="center"/>
    </xf>
    <xf numFmtId="164" fontId="32" fillId="0" borderId="19" xfId="3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4" fontId="8" fillId="0" borderId="17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8" fillId="0" borderId="17" xfId="0" applyFont="1" applyBorder="1" applyAlignment="1">
      <alignment vertical="center" wrapText="1"/>
    </xf>
    <xf numFmtId="49" fontId="11" fillId="0" borderId="21" xfId="0" applyNumberFormat="1" applyFont="1" applyBorder="1" applyAlignment="1">
      <alignment horizontal="center" vertical="center" wrapText="1"/>
    </xf>
    <xf numFmtId="49" fontId="8" fillId="0" borderId="21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4" fontId="8" fillId="0" borderId="9" xfId="0" applyNumberFormat="1" applyFont="1" applyBorder="1" applyAlignment="1">
      <alignment horizontal="center" wrapText="1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38" fillId="3" borderId="2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33" fillId="0" borderId="7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3" fillId="0" borderId="8" xfId="0" applyFont="1" applyBorder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165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9" fillId="3" borderId="0" xfId="1" applyFont="1" applyFill="1" applyAlignment="1">
      <alignment horizontal="left" vertical="center"/>
    </xf>
    <xf numFmtId="0" fontId="10" fillId="3" borderId="0" xfId="1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23" fillId="4" borderId="2" xfId="1" applyFont="1" applyFill="1" applyBorder="1" applyAlignment="1">
      <alignment horizontal="center" vertical="center"/>
    </xf>
    <xf numFmtId="0" fontId="23" fillId="4" borderId="10" xfId="1" applyFont="1" applyFill="1" applyBorder="1" applyAlignment="1">
      <alignment horizontal="center" vertical="center"/>
    </xf>
    <xf numFmtId="0" fontId="23" fillId="4" borderId="3" xfId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9" fillId="3" borderId="2" xfId="1" applyFont="1" applyFill="1" applyBorder="1" applyAlignment="1">
      <alignment horizontal="center" vertical="center"/>
    </xf>
    <xf numFmtId="0" fontId="9" fillId="3" borderId="10" xfId="1" applyFont="1" applyFill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164" fontId="8" fillId="0" borderId="1" xfId="5" applyFont="1" applyBorder="1" applyAlignment="1">
      <alignment horizontal="right" vertical="center"/>
    </xf>
    <xf numFmtId="0" fontId="40" fillId="0" borderId="16" xfId="0" applyFont="1" applyBorder="1" applyAlignment="1">
      <alignment horizontal="right" vertical="center" wrapText="1"/>
    </xf>
    <xf numFmtId="0" fontId="40" fillId="0" borderId="0" xfId="0" applyFont="1" applyAlignment="1">
      <alignment horizontal="right" vertical="center" wrapText="1"/>
    </xf>
    <xf numFmtId="0" fontId="40" fillId="0" borderId="15" xfId="0" applyFont="1" applyBorder="1" applyAlignment="1">
      <alignment horizontal="right" vertical="center" wrapText="1"/>
    </xf>
    <xf numFmtId="0" fontId="41" fillId="0" borderId="16" xfId="0" applyFont="1" applyBorder="1" applyAlignment="1">
      <alignment horizontal="right" vertical="center" wrapText="1"/>
    </xf>
    <xf numFmtId="0" fontId="41" fillId="0" borderId="0" xfId="0" applyFont="1" applyAlignment="1">
      <alignment horizontal="right" vertical="center" wrapText="1"/>
    </xf>
    <xf numFmtId="0" fontId="41" fillId="0" borderId="15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8" fillId="0" borderId="15" xfId="0" applyFont="1" applyBorder="1" applyAlignment="1">
      <alignment horizontal="right" vertical="center" wrapText="1"/>
    </xf>
    <xf numFmtId="0" fontId="11" fillId="0" borderId="16" xfId="0" applyFont="1" applyBorder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11" fillId="0" borderId="15" xfId="0" applyFont="1" applyBorder="1" applyAlignment="1">
      <alignment horizontal="right" vertical="center" wrapText="1"/>
    </xf>
    <xf numFmtId="0" fontId="11" fillId="0" borderId="14" xfId="0" applyFont="1" applyBorder="1" applyAlignment="1">
      <alignment horizontal="left" vertical="center" wrapText="1"/>
    </xf>
    <xf numFmtId="0" fontId="43" fillId="0" borderId="14" xfId="0" applyFont="1" applyBorder="1" applyAlignment="1">
      <alignment horizontal="left" wrapText="1"/>
    </xf>
    <xf numFmtId="0" fontId="7" fillId="0" borderId="7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right" vertical="center" wrapText="1"/>
    </xf>
    <xf numFmtId="0" fontId="11" fillId="0" borderId="8" xfId="0" applyFont="1" applyBorder="1" applyAlignment="1">
      <alignment horizontal="righ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43" fillId="0" borderId="7" xfId="0" applyFont="1" applyBorder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</cellXfs>
  <cellStyles count="6">
    <cellStyle name="Comma" xfId="5" builtinId="3"/>
    <cellStyle name="Comma 2" xfId="3" xr:uid="{00000000-0005-0000-0000-000001000000}"/>
    <cellStyle name="Hyperlink" xfId="4" builtinId="8"/>
    <cellStyle name="Hyperlink 2" xfId="2" xr:uid="{00000000-0005-0000-0000-000003000000}"/>
    <cellStyle name="Normal" xfId="0" builtinId="0"/>
    <cellStyle name="Normal 2" xfId="1" xr:uid="{00000000-0005-0000-0000-000005000000}"/>
  </cellStyles>
  <dxfs count="0"/>
  <tableStyles count="0" defaultTableStyle="TableStyleMedium2" defaultPivotStyle="PivotStyleLight16"/>
  <colors>
    <mruColors>
      <color rgb="FF7FCC0E"/>
      <color rgb="FF339933"/>
      <color rgb="FF00FF00"/>
      <color rgb="FF99FF66"/>
      <color rgb="FF006600"/>
      <color rgb="FF008000"/>
      <color rgb="FF003300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196849</xdr:colOff>
      <xdr:row>0</xdr:row>
      <xdr:rowOff>177800</xdr:rowOff>
    </xdr:from>
    <xdr:to>
      <xdr:col>2</xdr:col>
      <xdr:colOff>923382</xdr:colOff>
      <xdr:row>1</xdr:row>
      <xdr:rowOff>914400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17F64F-C949-B2BA-4871-7B9D3FBEE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49" y="177800"/>
          <a:ext cx="1494883" cy="965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196849</xdr:colOff>
      <xdr:row>0</xdr:row>
      <xdr:rowOff>177800</xdr:rowOff>
    </xdr:from>
    <xdr:to>
      <xdr:col>2</xdr:col>
      <xdr:colOff>923382</xdr:colOff>
      <xdr:row>1</xdr:row>
      <xdr:rowOff>914400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939B0-3433-4860-9124-5790B8F29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324" y="177800"/>
          <a:ext cx="1469483" cy="965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196849</xdr:colOff>
      <xdr:row>0</xdr:row>
      <xdr:rowOff>177800</xdr:rowOff>
    </xdr:from>
    <xdr:to>
      <xdr:col>2</xdr:col>
      <xdr:colOff>923382</xdr:colOff>
      <xdr:row>1</xdr:row>
      <xdr:rowOff>914400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8BF0D1-BDE7-427E-A181-A67CB7CA8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324" y="177800"/>
          <a:ext cx="1469483" cy="96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kramakota.sb@gmail.com" TargetMode="Externa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akramakota.sb@gmail.com" TargetMode="External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cakramakota.sb@gmail.com" TargetMode="Externa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1"/>
  <sheetViews>
    <sheetView view="pageBreakPreview" zoomScale="72" zoomScaleNormal="100" zoomScaleSheetLayoutView="72" workbookViewId="0">
      <selection activeCell="I27" sqref="I27"/>
    </sheetView>
  </sheetViews>
  <sheetFormatPr defaultColWidth="9.140625" defaultRowHeight="18" customHeight="1" x14ac:dyDescent="0.25"/>
  <cols>
    <col min="1" max="1" width="2.85546875" customWidth="1"/>
    <col min="2" max="2" width="8.140625" customWidth="1"/>
    <col min="3" max="3" width="59.5703125" customWidth="1"/>
    <col min="4" max="4" width="10.140625" customWidth="1"/>
    <col min="5" max="5" width="10.28515625" customWidth="1"/>
    <col min="6" max="6" width="14" style="33" customWidth="1"/>
    <col min="7" max="7" width="15.42578125" style="33" customWidth="1"/>
    <col min="8" max="8" width="19.7109375" customWidth="1"/>
    <col min="9" max="9" width="22.42578125" customWidth="1"/>
    <col min="10" max="10" width="3.42578125" customWidth="1"/>
  </cols>
  <sheetData>
    <row r="2" spans="1:10" ht="76.5" customHeight="1" x14ac:dyDescent="0.25">
      <c r="C2" s="160" t="s">
        <v>31</v>
      </c>
      <c r="D2" s="160"/>
      <c r="E2" s="160"/>
      <c r="F2" s="161" t="s">
        <v>0</v>
      </c>
      <c r="G2" s="161"/>
      <c r="H2" s="161"/>
      <c r="I2" s="161"/>
    </row>
    <row r="3" spans="1:10" ht="18" customHeight="1" x14ac:dyDescent="0.3">
      <c r="A3" s="1"/>
      <c r="B3" s="75" t="s">
        <v>33</v>
      </c>
      <c r="C3" s="3"/>
      <c r="D3" s="3"/>
      <c r="E3" s="3"/>
      <c r="F3" s="4"/>
      <c r="G3" s="4"/>
      <c r="H3" s="5"/>
      <c r="I3" s="5"/>
    </row>
    <row r="4" spans="1:10" ht="18" customHeight="1" x14ac:dyDescent="0.25">
      <c r="A4" s="1"/>
      <c r="B4" s="75" t="s">
        <v>34</v>
      </c>
      <c r="C4" s="3"/>
      <c r="D4" s="3"/>
      <c r="E4" s="3"/>
      <c r="F4" s="6" t="s">
        <v>1</v>
      </c>
      <c r="G4" s="162">
        <v>46216</v>
      </c>
      <c r="H4" s="162"/>
      <c r="I4" s="162"/>
    </row>
    <row r="5" spans="1:10" ht="18" customHeight="1" x14ac:dyDescent="0.25">
      <c r="A5" s="1"/>
      <c r="B5" s="75" t="s">
        <v>35</v>
      </c>
      <c r="C5" s="3"/>
      <c r="D5" s="3"/>
      <c r="E5" s="3"/>
      <c r="F5" s="6" t="s">
        <v>2</v>
      </c>
      <c r="G5" s="163" t="s">
        <v>51</v>
      </c>
      <c r="H5" s="163"/>
      <c r="I5" s="163"/>
    </row>
    <row r="6" spans="1:10" ht="18" customHeight="1" x14ac:dyDescent="0.25">
      <c r="A6" s="1"/>
      <c r="B6" s="75" t="s">
        <v>36</v>
      </c>
      <c r="C6" s="3"/>
      <c r="D6" s="3"/>
      <c r="E6" s="3"/>
      <c r="F6" s="6" t="s">
        <v>3</v>
      </c>
      <c r="G6" s="163" t="s">
        <v>4</v>
      </c>
      <c r="H6" s="163"/>
      <c r="I6" s="163"/>
    </row>
    <row r="7" spans="1:10" ht="9" customHeight="1" x14ac:dyDescent="0.25">
      <c r="B7" s="7"/>
      <c r="C7" s="7"/>
      <c r="D7" s="7"/>
      <c r="E7" s="71"/>
      <c r="F7" s="8"/>
      <c r="G7" s="8"/>
      <c r="H7" s="7"/>
      <c r="I7" s="7"/>
    </row>
    <row r="8" spans="1:10" ht="18" customHeight="1" x14ac:dyDescent="0.25">
      <c r="B8" s="69" t="s">
        <v>5</v>
      </c>
      <c r="C8" s="69"/>
      <c r="D8" s="36"/>
      <c r="E8" s="72"/>
      <c r="F8" s="164" t="s">
        <v>6</v>
      </c>
      <c r="G8" s="164"/>
      <c r="H8" s="165"/>
      <c r="I8" s="165"/>
    </row>
    <row r="9" spans="1:10" ht="18" customHeight="1" x14ac:dyDescent="0.25">
      <c r="B9" s="166" t="s">
        <v>75</v>
      </c>
      <c r="C9" s="166"/>
      <c r="D9" s="35"/>
      <c r="E9" s="9"/>
      <c r="F9" s="10" t="s">
        <v>32</v>
      </c>
      <c r="G9" s="10"/>
      <c r="H9" s="7"/>
      <c r="I9" s="7"/>
    </row>
    <row r="10" spans="1:10" ht="18" customHeight="1" x14ac:dyDescent="0.25">
      <c r="B10" s="149" t="s">
        <v>76</v>
      </c>
      <c r="C10" s="149"/>
      <c r="D10" s="34"/>
      <c r="E10" s="9"/>
      <c r="F10" s="2" t="s">
        <v>37</v>
      </c>
      <c r="G10" s="2"/>
      <c r="H10" s="7"/>
      <c r="I10" s="7"/>
    </row>
    <row r="11" spans="1:10" ht="18" customHeight="1" x14ac:dyDescent="0.25">
      <c r="B11" s="149" t="s">
        <v>77</v>
      </c>
      <c r="C11" s="149"/>
      <c r="D11" s="34"/>
      <c r="E11" s="9"/>
      <c r="F11" s="2" t="s">
        <v>38</v>
      </c>
      <c r="G11" s="7"/>
      <c r="H11" s="11"/>
      <c r="I11" s="11"/>
    </row>
    <row r="12" spans="1:10" ht="18" customHeight="1" x14ac:dyDescent="0.25">
      <c r="B12" s="149" t="s">
        <v>44</v>
      </c>
      <c r="C12" s="149"/>
      <c r="D12" s="34"/>
      <c r="E12" s="9"/>
      <c r="F12" s="2" t="s">
        <v>39</v>
      </c>
      <c r="G12" s="2"/>
      <c r="H12" s="11"/>
      <c r="I12" s="11"/>
    </row>
    <row r="13" spans="1:10" ht="18" customHeight="1" x14ac:dyDescent="0.25">
      <c r="B13" s="149"/>
      <c r="C13" s="149"/>
      <c r="D13" s="34"/>
      <c r="E13" s="9"/>
      <c r="F13" s="2" t="s">
        <v>42</v>
      </c>
      <c r="G13" s="2"/>
      <c r="H13" s="11"/>
      <c r="I13" s="11"/>
    </row>
    <row r="14" spans="1:10" ht="18" customHeight="1" x14ac:dyDescent="0.25">
      <c r="B14" s="149"/>
      <c r="C14" s="149"/>
      <c r="D14" s="34"/>
      <c r="E14" s="9" t="s">
        <v>20</v>
      </c>
      <c r="F14" s="2" t="s">
        <v>43</v>
      </c>
      <c r="G14" s="2"/>
      <c r="H14" s="11"/>
      <c r="I14" s="11"/>
    </row>
    <row r="15" spans="1:10" ht="18" customHeight="1" x14ac:dyDescent="0.25">
      <c r="B15" s="150"/>
      <c r="C15" s="150"/>
      <c r="D15" s="11"/>
      <c r="E15" s="9"/>
      <c r="F15" s="2"/>
      <c r="G15" s="2"/>
      <c r="H15" s="11"/>
      <c r="I15" s="11"/>
    </row>
    <row r="16" spans="1:10" s="12" customFormat="1" ht="17.25" customHeight="1" x14ac:dyDescent="0.25">
      <c r="B16" s="13" t="s">
        <v>7</v>
      </c>
      <c r="C16" s="43"/>
      <c r="D16" s="14"/>
      <c r="E16" s="15"/>
      <c r="F16" s="16" t="s">
        <v>8</v>
      </c>
      <c r="G16" s="43" t="s">
        <v>40</v>
      </c>
      <c r="H16" s="43"/>
      <c r="I16" s="15"/>
      <c r="J16" s="17"/>
    </row>
    <row r="17" spans="2:11" s="12" customFormat="1" ht="17.25" customHeight="1" x14ac:dyDescent="0.25">
      <c r="B17" s="2" t="s">
        <v>28</v>
      </c>
      <c r="C17" s="15" t="s">
        <v>78</v>
      </c>
      <c r="D17" s="15"/>
      <c r="E17" s="15"/>
      <c r="F17" s="11" t="s">
        <v>9</v>
      </c>
      <c r="G17" s="15" t="s">
        <v>41</v>
      </c>
      <c r="H17" s="15"/>
      <c r="I17" s="15"/>
      <c r="J17" s="17"/>
    </row>
    <row r="18" spans="2:11" s="12" customFormat="1" ht="17.25" customHeight="1" x14ac:dyDescent="0.25">
      <c r="B18" s="15"/>
      <c r="C18" s="15"/>
      <c r="D18" s="15"/>
      <c r="E18" s="15"/>
      <c r="F18" s="15"/>
      <c r="G18" s="15"/>
      <c r="H18" s="15"/>
      <c r="I18" s="15"/>
      <c r="J18" s="17"/>
    </row>
    <row r="19" spans="2:11" s="12" customFormat="1" ht="17.25" customHeight="1" x14ac:dyDescent="0.25">
      <c r="B19" s="18" t="s">
        <v>30</v>
      </c>
      <c r="C19" s="2" t="s">
        <v>79</v>
      </c>
      <c r="D19" s="2"/>
      <c r="E19" s="15"/>
      <c r="F19" s="18" t="s">
        <v>10</v>
      </c>
      <c r="G19" s="15" t="s">
        <v>49</v>
      </c>
      <c r="H19" s="15"/>
      <c r="I19" s="15"/>
      <c r="J19" s="17"/>
    </row>
    <row r="20" spans="2:11" s="12" customFormat="1" ht="17.25" customHeight="1" x14ac:dyDescent="0.25">
      <c r="B20" s="18"/>
      <c r="C20" s="2"/>
      <c r="D20" s="2"/>
      <c r="E20" s="15"/>
      <c r="F20" s="18"/>
      <c r="G20" s="18"/>
      <c r="H20" s="15"/>
      <c r="I20" s="15"/>
      <c r="J20" s="17"/>
    </row>
    <row r="21" spans="2:11" ht="18.75" customHeight="1" x14ac:dyDescent="0.35">
      <c r="B21" s="151" t="s">
        <v>45</v>
      </c>
      <c r="C21" s="152"/>
      <c r="D21" s="152"/>
      <c r="E21" s="152"/>
      <c r="F21" s="152"/>
      <c r="G21" s="152"/>
      <c r="H21" s="152"/>
      <c r="I21" s="153"/>
      <c r="J21" s="167"/>
      <c r="K21" s="167"/>
    </row>
    <row r="22" spans="2:11" ht="34.15" customHeight="1" x14ac:dyDescent="0.35">
      <c r="B22" s="70" t="s">
        <v>11</v>
      </c>
      <c r="C22" s="168" t="s">
        <v>25</v>
      </c>
      <c r="D22" s="169"/>
      <c r="E22" s="169"/>
      <c r="F22" s="170"/>
      <c r="G22" s="74" t="s">
        <v>12</v>
      </c>
      <c r="H22" s="74" t="s">
        <v>13</v>
      </c>
      <c r="I22" s="70" t="s">
        <v>14</v>
      </c>
      <c r="J22" s="167"/>
      <c r="K22" s="167"/>
    </row>
    <row r="23" spans="2:11" s="7" customFormat="1" ht="18" customHeight="1" x14ac:dyDescent="0.25">
      <c r="B23" s="44"/>
      <c r="C23" s="154"/>
      <c r="D23" s="155"/>
      <c r="E23" s="155"/>
      <c r="F23" s="156"/>
      <c r="G23" s="50"/>
      <c r="H23" s="45"/>
      <c r="I23" s="46"/>
    </row>
    <row r="24" spans="2:11" ht="27" customHeight="1" x14ac:dyDescent="0.25">
      <c r="B24" s="37"/>
      <c r="C24" s="157" t="s">
        <v>27</v>
      </c>
      <c r="D24" s="158"/>
      <c r="E24" s="158"/>
      <c r="F24" s="159"/>
      <c r="G24" s="49"/>
      <c r="H24" s="38"/>
      <c r="I24" s="46"/>
    </row>
    <row r="25" spans="2:11" ht="16.899999999999999" customHeight="1" x14ac:dyDescent="0.25">
      <c r="B25" s="37"/>
      <c r="C25" s="47"/>
      <c r="D25" s="48"/>
      <c r="E25" s="48"/>
      <c r="F25" s="49"/>
      <c r="G25" s="54"/>
      <c r="H25" s="38"/>
      <c r="I25" s="46"/>
    </row>
    <row r="26" spans="2:11" ht="20.25" customHeight="1" x14ac:dyDescent="0.25">
      <c r="B26" s="44" t="s">
        <v>29</v>
      </c>
      <c r="C26" s="77" t="s">
        <v>52</v>
      </c>
      <c r="D26" s="79"/>
      <c r="E26" s="79"/>
      <c r="F26" s="80"/>
      <c r="G26" s="55">
        <v>6</v>
      </c>
      <c r="H26" s="67">
        <v>15</v>
      </c>
      <c r="I26" s="46">
        <f>SUM(G26*H26)</f>
        <v>90</v>
      </c>
    </row>
    <row r="27" spans="2:11" ht="20.25" customHeight="1" x14ac:dyDescent="0.25">
      <c r="B27" s="44" t="s">
        <v>46</v>
      </c>
      <c r="C27" s="77" t="s">
        <v>53</v>
      </c>
      <c r="D27" s="16"/>
      <c r="E27" s="16"/>
      <c r="F27" s="78"/>
      <c r="G27" s="64">
        <v>8</v>
      </c>
      <c r="H27" s="67">
        <v>16</v>
      </c>
      <c r="I27" s="46">
        <f t="shared" ref="I27:I38" si="0">SUM(G27*H27)</f>
        <v>128</v>
      </c>
    </row>
    <row r="28" spans="2:11" ht="20.25" customHeight="1" x14ac:dyDescent="0.25">
      <c r="B28" s="44" t="s">
        <v>47</v>
      </c>
      <c r="C28" s="51" t="s">
        <v>54</v>
      </c>
      <c r="D28" s="53"/>
      <c r="E28" s="62"/>
      <c r="F28" s="54"/>
      <c r="G28" s="64">
        <v>4</v>
      </c>
      <c r="H28" s="67">
        <v>2.2999999999999998</v>
      </c>
      <c r="I28" s="46">
        <f t="shared" si="0"/>
        <v>9.1999999999999993</v>
      </c>
    </row>
    <row r="29" spans="2:11" ht="20.25" customHeight="1" x14ac:dyDescent="0.25">
      <c r="B29" s="44" t="s">
        <v>58</v>
      </c>
      <c r="C29" s="51" t="s">
        <v>55</v>
      </c>
      <c r="D29" s="53"/>
      <c r="E29" s="53"/>
      <c r="F29" s="52"/>
      <c r="G29" s="64">
        <v>4</v>
      </c>
      <c r="H29" s="67">
        <v>1.9</v>
      </c>
      <c r="I29" s="46">
        <f t="shared" si="0"/>
        <v>7.6</v>
      </c>
    </row>
    <row r="30" spans="2:11" ht="20.25" customHeight="1" x14ac:dyDescent="0.25">
      <c r="B30" s="44" t="s">
        <v>59</v>
      </c>
      <c r="C30" s="51" t="s">
        <v>56</v>
      </c>
      <c r="D30" s="53"/>
      <c r="E30" s="53"/>
      <c r="F30" s="52"/>
      <c r="G30" s="64">
        <v>4</v>
      </c>
      <c r="H30" s="67">
        <v>2.8</v>
      </c>
      <c r="I30" s="46">
        <f t="shared" si="0"/>
        <v>11.2</v>
      </c>
    </row>
    <row r="31" spans="2:11" ht="20.25" customHeight="1" x14ac:dyDescent="0.25">
      <c r="B31" s="44" t="s">
        <v>60</v>
      </c>
      <c r="C31" s="51" t="s">
        <v>57</v>
      </c>
      <c r="D31" s="53"/>
      <c r="E31" s="53"/>
      <c r="F31" s="52"/>
      <c r="G31" s="64">
        <v>4</v>
      </c>
      <c r="H31" s="67">
        <v>5.5</v>
      </c>
      <c r="I31" s="46">
        <f t="shared" si="0"/>
        <v>22</v>
      </c>
    </row>
    <row r="32" spans="2:11" ht="20.25" customHeight="1" x14ac:dyDescent="0.25">
      <c r="B32" s="44" t="s">
        <v>61</v>
      </c>
      <c r="C32" s="51" t="s">
        <v>62</v>
      </c>
      <c r="D32" s="53"/>
      <c r="E32" s="53"/>
      <c r="F32" s="52"/>
      <c r="G32" s="64">
        <v>4</v>
      </c>
      <c r="H32" s="67">
        <v>1.9</v>
      </c>
      <c r="I32" s="46">
        <f t="shared" si="0"/>
        <v>7.6</v>
      </c>
    </row>
    <row r="33" spans="2:9" ht="20.25" customHeight="1" x14ac:dyDescent="0.25">
      <c r="B33" s="44" t="s">
        <v>65</v>
      </c>
      <c r="C33" s="51" t="s">
        <v>63</v>
      </c>
      <c r="D33" s="53"/>
      <c r="E33" s="53"/>
      <c r="F33" s="52"/>
      <c r="G33" s="64">
        <v>1</v>
      </c>
      <c r="H33" s="67">
        <v>11</v>
      </c>
      <c r="I33" s="46">
        <f t="shared" si="0"/>
        <v>11</v>
      </c>
    </row>
    <row r="34" spans="2:9" ht="20.25" customHeight="1" x14ac:dyDescent="0.25">
      <c r="B34" s="44" t="s">
        <v>66</v>
      </c>
      <c r="C34" s="51" t="s">
        <v>64</v>
      </c>
      <c r="D34" s="53"/>
      <c r="E34" s="53"/>
      <c r="F34" s="52"/>
      <c r="G34" s="64">
        <v>3</v>
      </c>
      <c r="H34" s="67">
        <v>3.2</v>
      </c>
      <c r="I34" s="46">
        <f t="shared" si="0"/>
        <v>9.6000000000000014</v>
      </c>
    </row>
    <row r="35" spans="2:9" ht="20.25" customHeight="1" x14ac:dyDescent="0.25">
      <c r="B35" s="44" t="s">
        <v>67</v>
      </c>
      <c r="C35" s="51" t="s">
        <v>71</v>
      </c>
      <c r="D35" s="53"/>
      <c r="E35" s="53"/>
      <c r="F35" s="52"/>
      <c r="G35" s="64">
        <v>2</v>
      </c>
      <c r="H35" s="67">
        <v>3</v>
      </c>
      <c r="I35" s="46">
        <f t="shared" si="0"/>
        <v>6</v>
      </c>
    </row>
    <row r="36" spans="2:9" ht="20.25" customHeight="1" x14ac:dyDescent="0.25">
      <c r="B36" s="44" t="s">
        <v>68</v>
      </c>
      <c r="C36" s="51" t="s">
        <v>72</v>
      </c>
      <c r="D36" s="53"/>
      <c r="E36" s="53"/>
      <c r="F36" s="52"/>
      <c r="G36" s="64">
        <v>2</v>
      </c>
      <c r="H36" s="67">
        <v>4</v>
      </c>
      <c r="I36" s="46">
        <f t="shared" si="0"/>
        <v>8</v>
      </c>
    </row>
    <row r="37" spans="2:9" ht="20.25" customHeight="1" x14ac:dyDescent="0.25">
      <c r="B37" s="44" t="s">
        <v>69</v>
      </c>
      <c r="C37" s="51" t="s">
        <v>73</v>
      </c>
      <c r="D37" s="53"/>
      <c r="E37" s="53"/>
      <c r="F37" s="52"/>
      <c r="G37" s="64">
        <v>1</v>
      </c>
      <c r="H37" s="67">
        <v>60</v>
      </c>
      <c r="I37" s="46">
        <f t="shared" si="0"/>
        <v>60</v>
      </c>
    </row>
    <row r="38" spans="2:9" ht="20.25" customHeight="1" x14ac:dyDescent="0.25">
      <c r="B38" s="44" t="s">
        <v>70</v>
      </c>
      <c r="C38" s="51" t="s">
        <v>74</v>
      </c>
      <c r="D38" s="53"/>
      <c r="E38" s="53"/>
      <c r="F38" s="52"/>
      <c r="G38" s="64">
        <v>5</v>
      </c>
      <c r="H38" s="67">
        <v>23.5</v>
      </c>
      <c r="I38" s="46">
        <f t="shared" si="0"/>
        <v>117.5</v>
      </c>
    </row>
    <row r="39" spans="2:9" ht="42.95" customHeight="1" x14ac:dyDescent="0.25">
      <c r="B39" s="44"/>
      <c r="C39" s="177"/>
      <c r="D39" s="178"/>
      <c r="E39" s="178"/>
      <c r="F39" s="179"/>
      <c r="G39" s="64"/>
      <c r="H39" s="67"/>
      <c r="I39" s="46"/>
    </row>
    <row r="40" spans="2:9" ht="20.25" customHeight="1" x14ac:dyDescent="0.25">
      <c r="B40" s="180" t="s">
        <v>50</v>
      </c>
      <c r="C40" s="180"/>
      <c r="D40" s="180"/>
      <c r="E40" s="180"/>
      <c r="F40" s="180"/>
      <c r="G40" s="180"/>
      <c r="H40" s="180"/>
      <c r="I40" s="76">
        <f>SUM(I26:I39)</f>
        <v>487.70000000000005</v>
      </c>
    </row>
    <row r="41" spans="2:9" ht="18" customHeight="1" x14ac:dyDescent="0.25">
      <c r="B41" s="174" t="s">
        <v>15</v>
      </c>
      <c r="C41" s="175"/>
      <c r="D41" s="175"/>
      <c r="E41" s="175"/>
      <c r="F41" s="175"/>
      <c r="G41" s="175"/>
      <c r="H41" s="176"/>
      <c r="I41" s="39"/>
    </row>
    <row r="42" spans="2:9" ht="23.25" customHeight="1" x14ac:dyDescent="0.25">
      <c r="B42" s="40"/>
      <c r="C42" s="41"/>
      <c r="D42" s="41"/>
      <c r="E42" s="41"/>
      <c r="F42" s="42"/>
      <c r="G42" s="42"/>
      <c r="H42" s="63"/>
      <c r="I42" s="68">
        <f>SUM(I40)</f>
        <v>487.70000000000005</v>
      </c>
    </row>
    <row r="43" spans="2:9" ht="18" customHeight="1" x14ac:dyDescent="0.3">
      <c r="B43" s="19"/>
      <c r="C43" s="7"/>
      <c r="D43" s="7"/>
      <c r="E43" s="7"/>
      <c r="F43" s="5"/>
      <c r="G43" s="5"/>
      <c r="H43" s="20"/>
      <c r="I43" s="21"/>
    </row>
    <row r="44" spans="2:9" ht="18" customHeight="1" x14ac:dyDescent="0.25">
      <c r="B44" s="172" t="s">
        <v>16</v>
      </c>
      <c r="C44" s="173"/>
      <c r="D44" s="173"/>
      <c r="E44" s="173"/>
      <c r="F44" s="173"/>
      <c r="G44" s="173"/>
      <c r="H44" s="73"/>
      <c r="I44" s="21"/>
    </row>
    <row r="45" spans="2:9" ht="18" customHeight="1" x14ac:dyDescent="0.25">
      <c r="B45" s="59"/>
      <c r="C45" s="56"/>
      <c r="D45" s="6"/>
      <c r="E45" s="19"/>
      <c r="F45" s="19"/>
      <c r="G45" s="57"/>
      <c r="H45" s="60"/>
      <c r="I45" s="22"/>
    </row>
    <row r="46" spans="2:9" ht="26.25" customHeight="1" x14ac:dyDescent="0.25">
      <c r="B46" s="59"/>
      <c r="C46" s="11"/>
      <c r="D46" s="6"/>
      <c r="E46" s="19"/>
      <c r="F46" s="19"/>
      <c r="G46" s="57"/>
      <c r="H46" s="60"/>
      <c r="I46" s="22"/>
    </row>
    <row r="47" spans="2:9" ht="18" customHeight="1" x14ac:dyDescent="0.25">
      <c r="B47" s="23"/>
      <c r="C47" s="11"/>
      <c r="D47" s="65"/>
      <c r="E47" s="65"/>
      <c r="F47" s="65"/>
      <c r="G47" s="65"/>
      <c r="H47" s="66"/>
      <c r="I47" s="15"/>
    </row>
    <row r="48" spans="2:9" ht="18" customHeight="1" x14ac:dyDescent="0.25">
      <c r="B48" s="23"/>
      <c r="C48" s="11"/>
      <c r="D48" s="65"/>
      <c r="E48" s="65"/>
      <c r="F48" s="65"/>
      <c r="G48" s="65"/>
      <c r="H48" s="66"/>
      <c r="I48" s="15"/>
    </row>
    <row r="49" spans="1:10" ht="18" customHeight="1" x14ac:dyDescent="0.3">
      <c r="B49" s="24"/>
      <c r="C49" s="25"/>
      <c r="D49" s="26"/>
      <c r="E49" s="27"/>
      <c r="F49" s="27"/>
      <c r="G49" s="26"/>
      <c r="H49" s="61"/>
      <c r="I49" s="15"/>
    </row>
    <row r="50" spans="1:10" ht="18" customHeight="1" x14ac:dyDescent="0.3">
      <c r="B50" s="19"/>
      <c r="C50" s="28"/>
      <c r="D50" s="15"/>
      <c r="E50" s="5"/>
      <c r="F50" s="5"/>
      <c r="G50" s="15"/>
      <c r="H50" s="58"/>
      <c r="I50" s="15"/>
    </row>
    <row r="51" spans="1:10" ht="18" customHeight="1" x14ac:dyDescent="0.25">
      <c r="B51" s="9" t="s">
        <v>26</v>
      </c>
      <c r="C51" s="9"/>
      <c r="D51" s="9"/>
      <c r="E51" s="9"/>
      <c r="F51" s="9" t="s">
        <v>23</v>
      </c>
      <c r="G51" s="9"/>
      <c r="H51" s="18"/>
      <c r="I51" s="15"/>
    </row>
    <row r="52" spans="1:10" ht="18" customHeight="1" x14ac:dyDescent="0.25">
      <c r="B52" s="9"/>
      <c r="C52" s="9"/>
      <c r="D52" s="9"/>
      <c r="E52" s="9"/>
      <c r="F52" s="8"/>
      <c r="G52" s="8"/>
      <c r="H52" s="18"/>
      <c r="I52" s="15"/>
    </row>
    <row r="53" spans="1:10" ht="18" customHeight="1" x14ac:dyDescent="0.25">
      <c r="B53" s="9"/>
      <c r="C53" s="9"/>
      <c r="D53" s="9"/>
      <c r="E53" s="9"/>
      <c r="F53" s="8"/>
      <c r="G53" s="8"/>
      <c r="H53" s="18"/>
      <c r="I53" s="15"/>
    </row>
    <row r="54" spans="1:10" ht="18" customHeight="1" x14ac:dyDescent="0.25">
      <c r="B54" s="9"/>
      <c r="C54" s="9"/>
      <c r="D54" s="9"/>
      <c r="E54" s="9"/>
      <c r="F54" s="8"/>
      <c r="G54" s="8"/>
      <c r="H54" s="18"/>
      <c r="I54" s="15"/>
    </row>
    <row r="55" spans="1:10" ht="18" customHeight="1" x14ac:dyDescent="0.25">
      <c r="B55" s="9"/>
      <c r="C55" s="9"/>
      <c r="D55" s="9"/>
      <c r="E55" s="9"/>
      <c r="F55" s="8"/>
      <c r="G55" s="8"/>
      <c r="H55" s="18"/>
      <c r="I55" s="15"/>
      <c r="J55" s="29"/>
    </row>
    <row r="56" spans="1:10" ht="18" customHeight="1" x14ac:dyDescent="0.25">
      <c r="B56" s="9"/>
      <c r="C56" s="9"/>
      <c r="D56" s="9"/>
      <c r="E56" s="9"/>
      <c r="F56" s="8"/>
      <c r="G56" s="8"/>
      <c r="H56" s="18"/>
      <c r="I56" s="15"/>
      <c r="J56" s="29"/>
    </row>
    <row r="57" spans="1:10" ht="18" customHeight="1" x14ac:dyDescent="0.25">
      <c r="B57" s="171" t="s">
        <v>17</v>
      </c>
      <c r="C57" s="171"/>
      <c r="D57" s="18"/>
      <c r="E57" s="9"/>
      <c r="F57" s="171" t="s">
        <v>18</v>
      </c>
      <c r="G57" s="171"/>
      <c r="H57" s="171"/>
      <c r="I57" s="171"/>
      <c r="J57" s="29"/>
    </row>
    <row r="58" spans="1:10" ht="18" customHeight="1" x14ac:dyDescent="0.25">
      <c r="B58" s="150" t="s">
        <v>48</v>
      </c>
      <c r="C58" s="171"/>
      <c r="D58" s="11"/>
      <c r="E58" s="9"/>
      <c r="F58" s="11" t="s">
        <v>22</v>
      </c>
      <c r="G58" s="11"/>
      <c r="H58" s="18"/>
      <c r="I58" s="18"/>
      <c r="J58" s="29"/>
    </row>
    <row r="59" spans="1:10" ht="18" customHeight="1" x14ac:dyDescent="0.25">
      <c r="B59" s="11"/>
      <c r="C59" s="18"/>
      <c r="D59" s="11"/>
      <c r="E59" s="9"/>
      <c r="F59" s="11"/>
      <c r="G59" s="11"/>
      <c r="H59" s="18"/>
      <c r="I59" s="18"/>
      <c r="J59" s="29"/>
    </row>
    <row r="60" spans="1:10" ht="18" customHeight="1" x14ac:dyDescent="0.3">
      <c r="A60" s="5"/>
      <c r="B60" s="150"/>
      <c r="C60" s="150"/>
      <c r="D60" s="7"/>
      <c r="E60" s="7"/>
      <c r="F60" s="28"/>
      <c r="G60" s="28"/>
      <c r="H60" s="15"/>
      <c r="I60" s="15"/>
      <c r="J60" s="29"/>
    </row>
    <row r="61" spans="1:10" ht="18" customHeight="1" x14ac:dyDescent="0.3">
      <c r="A61" s="5"/>
      <c r="B61" s="7"/>
      <c r="C61" s="7"/>
      <c r="D61" s="15" t="s">
        <v>20</v>
      </c>
      <c r="E61" s="15"/>
      <c r="F61" s="15"/>
      <c r="G61" s="15"/>
      <c r="H61" s="15"/>
      <c r="I61" s="15"/>
      <c r="J61" s="30"/>
    </row>
    <row r="62" spans="1:10" ht="18" customHeight="1" x14ac:dyDescent="0.3">
      <c r="A62" s="5"/>
      <c r="B62" s="9" t="s">
        <v>21</v>
      </c>
      <c r="C62" s="9"/>
      <c r="D62" s="9"/>
      <c r="E62" s="15"/>
      <c r="F62" s="9" t="s">
        <v>24</v>
      </c>
      <c r="G62" s="9"/>
      <c r="H62" s="18"/>
      <c r="I62" s="15"/>
      <c r="J62" s="30"/>
    </row>
    <row r="63" spans="1:10" ht="18" customHeight="1" x14ac:dyDescent="0.3">
      <c r="A63" s="5"/>
      <c r="B63" s="9"/>
      <c r="C63" s="9"/>
      <c r="D63" s="9"/>
      <c r="E63" s="15"/>
      <c r="F63" s="9"/>
      <c r="G63" s="9"/>
      <c r="H63" s="18"/>
      <c r="I63" s="15"/>
      <c r="J63" s="30"/>
    </row>
    <row r="64" spans="1:10" ht="18" customHeight="1" x14ac:dyDescent="0.3">
      <c r="A64" s="5"/>
      <c r="B64" s="9"/>
      <c r="C64" s="9"/>
      <c r="D64" s="9"/>
      <c r="E64" s="15"/>
      <c r="F64" s="9"/>
      <c r="G64" s="9"/>
      <c r="H64" s="18"/>
      <c r="I64" s="15"/>
      <c r="J64" s="30"/>
    </row>
    <row r="65" spans="1:10" ht="18" customHeight="1" x14ac:dyDescent="0.3">
      <c r="A65" s="5"/>
      <c r="B65" s="9"/>
      <c r="C65" s="9"/>
      <c r="D65" s="9"/>
      <c r="E65" s="15"/>
      <c r="F65" s="9"/>
      <c r="G65" s="9"/>
      <c r="H65" s="18"/>
      <c r="I65" s="15"/>
      <c r="J65" s="30"/>
    </row>
    <row r="66" spans="1:10" ht="18" customHeight="1" x14ac:dyDescent="0.3">
      <c r="A66" s="5"/>
      <c r="B66" s="9"/>
      <c r="C66" s="9"/>
      <c r="D66" s="9"/>
      <c r="E66" s="31"/>
      <c r="F66" s="8"/>
      <c r="G66" s="8"/>
      <c r="H66" s="18"/>
      <c r="I66" s="15"/>
      <c r="J66" s="30"/>
    </row>
    <row r="67" spans="1:10" ht="18" customHeight="1" x14ac:dyDescent="0.3">
      <c r="A67" s="5"/>
      <c r="B67" s="9"/>
      <c r="C67" s="9"/>
      <c r="D67" s="9"/>
      <c r="E67" s="31"/>
      <c r="F67" s="8"/>
      <c r="G67" s="8"/>
      <c r="H67" s="18"/>
      <c r="I67" s="15"/>
      <c r="J67" s="30"/>
    </row>
    <row r="68" spans="1:10" ht="18" customHeight="1" x14ac:dyDescent="0.3">
      <c r="A68" s="5"/>
      <c r="B68" s="171" t="s">
        <v>17</v>
      </c>
      <c r="C68" s="171"/>
      <c r="D68" s="18"/>
      <c r="E68" s="32"/>
      <c r="F68" s="171" t="s">
        <v>18</v>
      </c>
      <c r="G68" s="171"/>
      <c r="H68" s="171"/>
      <c r="I68" s="171"/>
      <c r="J68" s="30"/>
    </row>
    <row r="69" spans="1:10" ht="18" customHeight="1" x14ac:dyDescent="0.3">
      <c r="A69" s="5"/>
      <c r="B69" s="150" t="s">
        <v>19</v>
      </c>
      <c r="C69" s="150"/>
      <c r="D69" s="11"/>
      <c r="E69" s="32"/>
      <c r="F69" s="11" t="s">
        <v>22</v>
      </c>
      <c r="G69" s="11"/>
      <c r="H69" s="18"/>
      <c r="I69" s="18"/>
      <c r="J69" s="30"/>
    </row>
    <row r="70" spans="1:10" ht="18" customHeight="1" x14ac:dyDescent="0.3">
      <c r="A70" s="5"/>
      <c r="B70" s="11"/>
      <c r="C70" s="11"/>
      <c r="D70" s="11"/>
      <c r="E70" s="32"/>
      <c r="F70" s="11"/>
      <c r="G70" s="11"/>
      <c r="H70" s="18"/>
      <c r="I70" s="18"/>
      <c r="J70" s="30"/>
    </row>
    <row r="71" spans="1:10" ht="18" customHeight="1" x14ac:dyDescent="0.25">
      <c r="B71" s="7"/>
    </row>
  </sheetData>
  <mergeCells count="30">
    <mergeCell ref="B69:C69"/>
    <mergeCell ref="B57:C57"/>
    <mergeCell ref="F57:I57"/>
    <mergeCell ref="B60:C60"/>
    <mergeCell ref="B58:C58"/>
    <mergeCell ref="J21:K21"/>
    <mergeCell ref="J22:K22"/>
    <mergeCell ref="C22:F22"/>
    <mergeCell ref="B68:C68"/>
    <mergeCell ref="F68:I68"/>
    <mergeCell ref="B44:G44"/>
    <mergeCell ref="B41:H41"/>
    <mergeCell ref="C39:F39"/>
    <mergeCell ref="B40:H40"/>
    <mergeCell ref="F8:I8"/>
    <mergeCell ref="B9:C9"/>
    <mergeCell ref="B10:C10"/>
    <mergeCell ref="B13:C13"/>
    <mergeCell ref="B11:C11"/>
    <mergeCell ref="B12:C12"/>
    <mergeCell ref="C2:E2"/>
    <mergeCell ref="F2:I2"/>
    <mergeCell ref="G4:I4"/>
    <mergeCell ref="G5:I5"/>
    <mergeCell ref="G6:I6"/>
    <mergeCell ref="B14:C14"/>
    <mergeCell ref="B15:C15"/>
    <mergeCell ref="B21:I21"/>
    <mergeCell ref="C23:F23"/>
    <mergeCell ref="C24:F24"/>
  </mergeCells>
  <phoneticPr fontId="30" type="noConversion"/>
  <hyperlinks>
    <hyperlink ref="G16" r:id="rId1" xr:uid="{00000000-0004-0000-0000-000000000000}"/>
  </hyperlinks>
  <printOptions horizontalCentered="1"/>
  <pageMargins left="0" right="0" top="0.5" bottom="0" header="0.31496062992126" footer="0.31496062992126"/>
  <pageSetup paperSize="9" scale="52" orientation="portrait" r:id="rId2"/>
  <drawing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31D6-AAE1-4546-AAB9-9745A993F47B}">
  <dimension ref="A2:K156"/>
  <sheetViews>
    <sheetView view="pageBreakPreview" topLeftCell="A80" zoomScale="72" zoomScaleNormal="100" zoomScaleSheetLayoutView="72" workbookViewId="0">
      <selection activeCell="R95" sqref="R94:R95"/>
    </sheetView>
  </sheetViews>
  <sheetFormatPr defaultColWidth="9.140625" defaultRowHeight="18" customHeight="1" x14ac:dyDescent="0.25"/>
  <cols>
    <col min="1" max="1" width="2.85546875" customWidth="1"/>
    <col min="2" max="2" width="8.140625" customWidth="1"/>
    <col min="3" max="3" width="59.5703125" customWidth="1"/>
    <col min="4" max="4" width="10.140625" customWidth="1"/>
    <col min="5" max="5" width="10.28515625" customWidth="1"/>
    <col min="6" max="6" width="14" style="33" customWidth="1"/>
    <col min="7" max="7" width="15.42578125" style="33" customWidth="1"/>
    <col min="8" max="8" width="19.7109375" customWidth="1"/>
    <col min="9" max="9" width="22.42578125" customWidth="1"/>
    <col min="10" max="10" width="3.42578125" customWidth="1"/>
  </cols>
  <sheetData>
    <row r="2" spans="1:10" ht="76.5" customHeight="1" x14ac:dyDescent="0.25">
      <c r="C2" s="160" t="s">
        <v>31</v>
      </c>
      <c r="D2" s="160"/>
      <c r="E2" s="160"/>
      <c r="F2" s="161" t="s">
        <v>0</v>
      </c>
      <c r="G2" s="161"/>
      <c r="H2" s="161"/>
      <c r="I2" s="161"/>
    </row>
    <row r="3" spans="1:10" ht="18" customHeight="1" x14ac:dyDescent="0.3">
      <c r="A3" s="1"/>
      <c r="B3" s="75" t="s">
        <v>33</v>
      </c>
      <c r="C3" s="3"/>
      <c r="D3" s="3"/>
      <c r="E3" s="3"/>
      <c r="F3" s="4"/>
      <c r="G3" s="4"/>
      <c r="H3" s="5"/>
      <c r="I3" s="5"/>
    </row>
    <row r="4" spans="1:10" ht="18" customHeight="1" x14ac:dyDescent="0.25">
      <c r="A4" s="1"/>
      <c r="B4" s="75" t="s">
        <v>34</v>
      </c>
      <c r="C4" s="3"/>
      <c r="D4" s="3"/>
      <c r="E4" s="3"/>
      <c r="F4" s="6" t="s">
        <v>1</v>
      </c>
      <c r="G4" s="162">
        <v>46216</v>
      </c>
      <c r="H4" s="162"/>
      <c r="I4" s="162"/>
    </row>
    <row r="5" spans="1:10" ht="18" customHeight="1" x14ac:dyDescent="0.25">
      <c r="A5" s="1"/>
      <c r="B5" s="75" t="s">
        <v>35</v>
      </c>
      <c r="C5" s="3"/>
      <c r="D5" s="3"/>
      <c r="E5" s="3"/>
      <c r="F5" s="6" t="s">
        <v>2</v>
      </c>
      <c r="G5" s="163" t="s">
        <v>225</v>
      </c>
      <c r="H5" s="163"/>
      <c r="I5" s="163"/>
    </row>
    <row r="6" spans="1:10" ht="18" customHeight="1" x14ac:dyDescent="0.25">
      <c r="A6" s="1"/>
      <c r="B6" s="75" t="s">
        <v>36</v>
      </c>
      <c r="C6" s="3"/>
      <c r="D6" s="3"/>
      <c r="E6" s="3"/>
      <c r="F6" s="6" t="s">
        <v>3</v>
      </c>
      <c r="G6" s="163" t="s">
        <v>4</v>
      </c>
      <c r="H6" s="163"/>
      <c r="I6" s="163"/>
    </row>
    <row r="7" spans="1:10" ht="9" customHeight="1" x14ac:dyDescent="0.25">
      <c r="B7" s="7"/>
      <c r="C7" s="7"/>
      <c r="D7" s="7"/>
      <c r="E7" s="71"/>
      <c r="F7" s="8"/>
      <c r="G7" s="8"/>
      <c r="H7" s="7"/>
      <c r="I7" s="7"/>
    </row>
    <row r="8" spans="1:10" ht="18" customHeight="1" x14ac:dyDescent="0.25">
      <c r="B8" s="69" t="s">
        <v>5</v>
      </c>
      <c r="C8" s="69"/>
      <c r="D8" s="36"/>
      <c r="E8" s="72"/>
      <c r="F8" s="164" t="s">
        <v>6</v>
      </c>
      <c r="G8" s="164"/>
      <c r="H8" s="165"/>
      <c r="I8" s="165"/>
    </row>
    <row r="9" spans="1:10" ht="18" customHeight="1" x14ac:dyDescent="0.25">
      <c r="B9" s="166" t="s">
        <v>80</v>
      </c>
      <c r="C9" s="166"/>
      <c r="D9" s="35"/>
      <c r="E9" s="9"/>
      <c r="F9" s="10" t="s">
        <v>32</v>
      </c>
      <c r="G9" s="10"/>
      <c r="H9" s="7"/>
      <c r="I9" s="7"/>
    </row>
    <row r="10" spans="1:10" ht="18" customHeight="1" x14ac:dyDescent="0.25">
      <c r="B10" s="149" t="s">
        <v>81</v>
      </c>
      <c r="C10" s="149"/>
      <c r="D10" s="34"/>
      <c r="E10" s="9"/>
      <c r="F10" s="2" t="s">
        <v>37</v>
      </c>
      <c r="G10" s="2"/>
      <c r="H10" s="7"/>
      <c r="I10" s="7"/>
    </row>
    <row r="11" spans="1:10" ht="18" customHeight="1" x14ac:dyDescent="0.25">
      <c r="B11" s="149" t="s">
        <v>82</v>
      </c>
      <c r="C11" s="149"/>
      <c r="D11" s="34"/>
      <c r="E11" s="9"/>
      <c r="F11" s="2" t="s">
        <v>38</v>
      </c>
      <c r="G11" s="7"/>
      <c r="H11" s="11"/>
      <c r="I11" s="11"/>
    </row>
    <row r="12" spans="1:10" ht="18" customHeight="1" x14ac:dyDescent="0.25">
      <c r="B12" s="149" t="s">
        <v>83</v>
      </c>
      <c r="C12" s="149"/>
      <c r="D12" s="34"/>
      <c r="E12" s="9"/>
      <c r="F12" s="2" t="s">
        <v>39</v>
      </c>
      <c r="G12" s="2"/>
      <c r="H12" s="11"/>
      <c r="I12" s="11"/>
    </row>
    <row r="13" spans="1:10" ht="18" customHeight="1" x14ac:dyDescent="0.25">
      <c r="B13" s="149"/>
      <c r="C13" s="149"/>
      <c r="D13" s="34"/>
      <c r="E13" s="9"/>
      <c r="F13" s="2" t="s">
        <v>42</v>
      </c>
      <c r="G13" s="2"/>
      <c r="H13" s="11"/>
      <c r="I13" s="11"/>
    </row>
    <row r="14" spans="1:10" ht="18" customHeight="1" x14ac:dyDescent="0.25">
      <c r="B14" s="149"/>
      <c r="C14" s="149"/>
      <c r="D14" s="34"/>
      <c r="E14" s="9" t="s">
        <v>20</v>
      </c>
      <c r="F14" s="2" t="s">
        <v>43</v>
      </c>
      <c r="G14" s="2"/>
      <c r="H14" s="11"/>
      <c r="I14" s="11"/>
    </row>
    <row r="15" spans="1:10" ht="18" customHeight="1" x14ac:dyDescent="0.25">
      <c r="B15" s="150"/>
      <c r="C15" s="150"/>
      <c r="D15" s="11"/>
      <c r="E15" s="9"/>
      <c r="F15" s="2"/>
      <c r="G15" s="2"/>
      <c r="H15" s="11"/>
      <c r="I15" s="11"/>
    </row>
    <row r="16" spans="1:10" s="12" customFormat="1" ht="17.25" customHeight="1" x14ac:dyDescent="0.25">
      <c r="B16" s="13" t="s">
        <v>7</v>
      </c>
      <c r="C16" s="43"/>
      <c r="D16" s="14"/>
      <c r="E16" s="15"/>
      <c r="F16" s="16" t="s">
        <v>8</v>
      </c>
      <c r="G16" s="43" t="s">
        <v>40</v>
      </c>
      <c r="H16" s="43"/>
      <c r="I16" s="15"/>
      <c r="J16" s="17"/>
    </row>
    <row r="17" spans="2:11" s="12" customFormat="1" ht="17.25" customHeight="1" x14ac:dyDescent="0.25">
      <c r="B17" s="2" t="s">
        <v>28</v>
      </c>
      <c r="C17" s="15" t="s">
        <v>85</v>
      </c>
      <c r="D17" s="15"/>
      <c r="E17" s="15"/>
      <c r="F17" s="11" t="s">
        <v>9</v>
      </c>
      <c r="G17" s="15" t="s">
        <v>41</v>
      </c>
      <c r="H17" s="15"/>
      <c r="I17" s="15"/>
      <c r="J17" s="17"/>
    </row>
    <row r="18" spans="2:11" s="12" customFormat="1" ht="17.25" customHeight="1" x14ac:dyDescent="0.25">
      <c r="B18" s="15"/>
      <c r="C18" s="15"/>
      <c r="D18" s="15"/>
      <c r="E18" s="15"/>
      <c r="F18" s="15"/>
      <c r="G18" s="15"/>
      <c r="H18" s="15"/>
      <c r="I18" s="15"/>
      <c r="J18" s="17"/>
    </row>
    <row r="19" spans="2:11" s="12" customFormat="1" ht="17.25" customHeight="1" x14ac:dyDescent="0.25">
      <c r="B19" s="18" t="s">
        <v>30</v>
      </c>
      <c r="C19" s="2" t="s">
        <v>84</v>
      </c>
      <c r="D19" s="2"/>
      <c r="E19" s="15"/>
      <c r="F19" s="18" t="s">
        <v>10</v>
      </c>
      <c r="G19" s="15" t="s">
        <v>49</v>
      </c>
      <c r="H19" s="15"/>
      <c r="I19" s="15"/>
      <c r="J19" s="17"/>
    </row>
    <row r="20" spans="2:11" s="12" customFormat="1" ht="17.25" customHeight="1" x14ac:dyDescent="0.25">
      <c r="B20" s="18"/>
      <c r="C20" s="2"/>
      <c r="D20" s="2"/>
      <c r="E20" s="15"/>
      <c r="F20" s="18"/>
      <c r="G20" s="18"/>
      <c r="H20" s="15"/>
      <c r="I20" s="15"/>
      <c r="J20" s="17"/>
    </row>
    <row r="21" spans="2:11" ht="18.75" customHeight="1" x14ac:dyDescent="0.35">
      <c r="B21" s="151" t="s">
        <v>228</v>
      </c>
      <c r="C21" s="152"/>
      <c r="D21" s="152"/>
      <c r="E21" s="152"/>
      <c r="F21" s="152"/>
      <c r="G21" s="152"/>
      <c r="H21" s="152"/>
      <c r="I21" s="153"/>
      <c r="J21" s="167"/>
      <c r="K21" s="167"/>
    </row>
    <row r="22" spans="2:11" ht="34.15" customHeight="1" x14ac:dyDescent="0.35">
      <c r="B22" s="70" t="s">
        <v>11</v>
      </c>
      <c r="C22" s="168" t="s">
        <v>25</v>
      </c>
      <c r="D22" s="169"/>
      <c r="E22" s="169"/>
      <c r="F22" s="170"/>
      <c r="G22" s="74" t="s">
        <v>12</v>
      </c>
      <c r="H22" s="74" t="s">
        <v>13</v>
      </c>
      <c r="I22" s="70" t="s">
        <v>14</v>
      </c>
      <c r="J22" s="167"/>
      <c r="K22" s="167"/>
    </row>
    <row r="23" spans="2:11" s="7" customFormat="1" ht="18" customHeight="1" x14ac:dyDescent="0.25">
      <c r="B23" s="44"/>
      <c r="C23" s="154"/>
      <c r="D23" s="155"/>
      <c r="E23" s="155"/>
      <c r="F23" s="156"/>
      <c r="G23" s="50"/>
      <c r="H23" s="45"/>
      <c r="I23" s="46"/>
    </row>
    <row r="24" spans="2:11" ht="27" customHeight="1" x14ac:dyDescent="0.25">
      <c r="B24" s="37"/>
      <c r="C24" s="157" t="s">
        <v>27</v>
      </c>
      <c r="D24" s="158"/>
      <c r="E24" s="158"/>
      <c r="F24" s="159"/>
      <c r="G24" s="49"/>
      <c r="H24" s="38"/>
      <c r="I24" s="46"/>
    </row>
    <row r="25" spans="2:11" ht="16.899999999999999" customHeight="1" x14ac:dyDescent="0.25">
      <c r="B25" s="37"/>
      <c r="C25" s="47"/>
      <c r="D25" s="48"/>
      <c r="E25" s="48"/>
      <c r="F25" s="49"/>
      <c r="G25" s="54"/>
      <c r="H25" s="38"/>
      <c r="I25" s="46"/>
    </row>
    <row r="26" spans="2:11" ht="20.25" customHeight="1" x14ac:dyDescent="0.25">
      <c r="B26" s="100"/>
      <c r="C26" s="84" t="s">
        <v>86</v>
      </c>
      <c r="D26" s="101"/>
      <c r="E26" s="101"/>
      <c r="F26" s="85"/>
      <c r="G26" s="55"/>
      <c r="H26" s="67"/>
      <c r="I26" s="46"/>
    </row>
    <row r="27" spans="2:11" ht="20.25" customHeight="1" x14ac:dyDescent="0.25">
      <c r="B27" s="100"/>
      <c r="C27" s="84" t="s">
        <v>87</v>
      </c>
      <c r="D27" s="102"/>
      <c r="E27" s="102"/>
      <c r="F27" s="83"/>
      <c r="G27" s="64"/>
      <c r="H27" s="67"/>
      <c r="I27" s="46"/>
    </row>
    <row r="28" spans="2:11" ht="39" customHeight="1" x14ac:dyDescent="0.25">
      <c r="B28" s="100" t="s">
        <v>119</v>
      </c>
      <c r="C28" s="202" t="s">
        <v>88</v>
      </c>
      <c r="D28" s="203"/>
      <c r="E28" s="203"/>
      <c r="F28" s="204"/>
      <c r="G28" s="64"/>
      <c r="H28" s="67"/>
      <c r="I28" s="46"/>
    </row>
    <row r="29" spans="2:11" x14ac:dyDescent="0.25">
      <c r="B29" s="100" t="s">
        <v>120</v>
      </c>
      <c r="C29" s="103" t="s">
        <v>89</v>
      </c>
      <c r="D29" s="81"/>
      <c r="E29" s="81"/>
      <c r="F29" s="82"/>
      <c r="G29" s="64"/>
      <c r="H29" s="67"/>
      <c r="I29" s="46"/>
    </row>
    <row r="30" spans="2:11" ht="20.25" customHeight="1" x14ac:dyDescent="0.25">
      <c r="B30" s="44" t="s">
        <v>121</v>
      </c>
      <c r="C30" s="51" t="s">
        <v>90</v>
      </c>
      <c r="D30" s="53"/>
      <c r="E30" s="53"/>
      <c r="F30" s="53"/>
      <c r="G30" s="105" t="s">
        <v>101</v>
      </c>
      <c r="H30" s="124">
        <v>250</v>
      </c>
      <c r="I30" s="125">
        <v>3000</v>
      </c>
    </row>
    <row r="31" spans="2:11" ht="20.25" customHeight="1" x14ac:dyDescent="0.25">
      <c r="B31" s="44" t="s">
        <v>122</v>
      </c>
      <c r="C31" s="51" t="s">
        <v>91</v>
      </c>
      <c r="D31" s="53"/>
      <c r="E31" s="53"/>
      <c r="F31" s="53"/>
      <c r="G31" s="105" t="s">
        <v>102</v>
      </c>
      <c r="H31" s="124">
        <v>1000</v>
      </c>
      <c r="I31" s="125">
        <v>1000</v>
      </c>
    </row>
    <row r="32" spans="2:11" ht="20.25" customHeight="1" x14ac:dyDescent="0.25">
      <c r="B32" s="44" t="s">
        <v>123</v>
      </c>
      <c r="C32" s="51" t="s">
        <v>92</v>
      </c>
      <c r="D32" s="53"/>
      <c r="E32" s="53"/>
      <c r="F32" s="53"/>
      <c r="G32" s="105" t="s">
        <v>103</v>
      </c>
      <c r="H32" s="124">
        <v>30</v>
      </c>
      <c r="I32" s="125">
        <v>60</v>
      </c>
    </row>
    <row r="33" spans="2:9" ht="20.25" customHeight="1" x14ac:dyDescent="0.25">
      <c r="B33" s="44" t="s">
        <v>124</v>
      </c>
      <c r="C33" s="51" t="s">
        <v>93</v>
      </c>
      <c r="D33" s="53"/>
      <c r="E33" s="53"/>
      <c r="F33" s="53"/>
      <c r="G33" s="105" t="s">
        <v>104</v>
      </c>
      <c r="H33" s="108">
        <v>17000</v>
      </c>
      <c r="I33" s="123">
        <v>17000</v>
      </c>
    </row>
    <row r="34" spans="2:9" ht="20.25" customHeight="1" x14ac:dyDescent="0.25">
      <c r="B34" s="44" t="s">
        <v>125</v>
      </c>
      <c r="C34" s="51" t="s">
        <v>94</v>
      </c>
      <c r="D34" s="53"/>
      <c r="E34" s="53"/>
      <c r="F34" s="53"/>
      <c r="G34" s="105" t="s">
        <v>104</v>
      </c>
      <c r="H34" s="108">
        <v>28000</v>
      </c>
      <c r="I34" s="123">
        <v>28000</v>
      </c>
    </row>
    <row r="35" spans="2:9" ht="20.25" customHeight="1" x14ac:dyDescent="0.25">
      <c r="B35" s="44" t="s">
        <v>126</v>
      </c>
      <c r="C35" s="51" t="s">
        <v>95</v>
      </c>
      <c r="D35" s="53"/>
      <c r="E35" s="53"/>
      <c r="F35" s="53"/>
      <c r="G35" s="105" t="s">
        <v>105</v>
      </c>
      <c r="H35" s="124">
        <v>5000</v>
      </c>
      <c r="I35" s="123">
        <v>5000</v>
      </c>
    </row>
    <row r="36" spans="2:9" ht="20.25" customHeight="1" x14ac:dyDescent="0.25">
      <c r="B36" s="44" t="s">
        <v>127</v>
      </c>
      <c r="C36" s="51" t="s">
        <v>96</v>
      </c>
      <c r="D36" s="53"/>
      <c r="E36" s="53"/>
      <c r="F36" s="53"/>
      <c r="G36" s="105" t="s">
        <v>106</v>
      </c>
      <c r="H36" s="124">
        <v>800</v>
      </c>
      <c r="I36" s="123">
        <v>3200</v>
      </c>
    </row>
    <row r="37" spans="2:9" ht="20.25" customHeight="1" x14ac:dyDescent="0.25">
      <c r="B37" s="44" t="s">
        <v>128</v>
      </c>
      <c r="C37" s="51" t="s">
        <v>97</v>
      </c>
      <c r="D37" s="53"/>
      <c r="E37" s="53"/>
      <c r="F37" s="53"/>
      <c r="G37" s="105" t="s">
        <v>104</v>
      </c>
      <c r="H37" s="108">
        <v>30000</v>
      </c>
      <c r="I37" s="123">
        <v>30000</v>
      </c>
    </row>
    <row r="38" spans="2:9" ht="20.25" customHeight="1" x14ac:dyDescent="0.25">
      <c r="B38" s="44" t="s">
        <v>129</v>
      </c>
      <c r="C38" s="51" t="s">
        <v>98</v>
      </c>
      <c r="D38" s="53"/>
      <c r="E38" s="53"/>
      <c r="F38" s="53"/>
      <c r="G38" s="105" t="s">
        <v>104</v>
      </c>
      <c r="H38" s="108">
        <v>23000</v>
      </c>
      <c r="I38" s="123">
        <v>23000</v>
      </c>
    </row>
    <row r="39" spans="2:9" ht="20.25" customHeight="1" x14ac:dyDescent="0.25">
      <c r="B39" s="44" t="s">
        <v>130</v>
      </c>
      <c r="C39" s="51" t="s">
        <v>99</v>
      </c>
      <c r="D39" s="53"/>
      <c r="E39" s="53"/>
      <c r="F39" s="53"/>
      <c r="G39" s="105" t="s">
        <v>107</v>
      </c>
      <c r="H39" s="108">
        <v>3000</v>
      </c>
      <c r="I39" s="123">
        <v>9000</v>
      </c>
    </row>
    <row r="40" spans="2:9" ht="20.25" customHeight="1" x14ac:dyDescent="0.25">
      <c r="B40" s="44" t="s">
        <v>131</v>
      </c>
      <c r="C40" s="51" t="s">
        <v>100</v>
      </c>
      <c r="D40" s="53"/>
      <c r="E40" s="53"/>
      <c r="F40" s="53"/>
      <c r="G40" s="105" t="s">
        <v>104</v>
      </c>
      <c r="H40" s="108">
        <v>55000</v>
      </c>
      <c r="I40" s="123">
        <v>55000</v>
      </c>
    </row>
    <row r="41" spans="2:9" ht="20.25" customHeight="1" x14ac:dyDescent="0.25">
      <c r="B41" s="44"/>
      <c r="C41" s="51"/>
      <c r="D41" s="53"/>
      <c r="E41" s="53"/>
      <c r="F41" s="52"/>
      <c r="G41" s="64"/>
      <c r="H41" s="67"/>
      <c r="I41" s="46"/>
    </row>
    <row r="42" spans="2:9" ht="33" customHeight="1" x14ac:dyDescent="0.25">
      <c r="B42" s="44"/>
      <c r="C42" s="202" t="s">
        <v>108</v>
      </c>
      <c r="D42" s="203"/>
      <c r="E42" s="203"/>
      <c r="F42" s="204"/>
      <c r="G42" s="64"/>
      <c r="H42" s="67"/>
      <c r="I42" s="46"/>
    </row>
    <row r="43" spans="2:9" s="89" customFormat="1" ht="20.25" customHeight="1" x14ac:dyDescent="0.25">
      <c r="B43" s="44" t="s">
        <v>132</v>
      </c>
      <c r="C43" s="51" t="s">
        <v>109</v>
      </c>
      <c r="D43" s="53"/>
      <c r="E43" s="53"/>
      <c r="F43" s="53"/>
      <c r="G43" s="105" t="s">
        <v>102</v>
      </c>
      <c r="H43" s="108">
        <v>43600</v>
      </c>
      <c r="I43" s="123">
        <v>43600</v>
      </c>
    </row>
    <row r="44" spans="2:9" s="89" customFormat="1" ht="20.25" customHeight="1" x14ac:dyDescent="0.25">
      <c r="B44" s="44" t="s">
        <v>133</v>
      </c>
      <c r="C44" s="51" t="s">
        <v>110</v>
      </c>
      <c r="D44" s="53"/>
      <c r="E44" s="53"/>
      <c r="F44" s="52"/>
      <c r="G44" s="86"/>
      <c r="H44" s="87"/>
      <c r="I44" s="88"/>
    </row>
    <row r="45" spans="2:9" ht="20.25" customHeight="1" x14ac:dyDescent="0.25">
      <c r="B45" s="44" t="s">
        <v>134</v>
      </c>
      <c r="C45" s="51" t="s">
        <v>111</v>
      </c>
      <c r="D45" s="53"/>
      <c r="E45" s="53"/>
      <c r="F45" s="52"/>
      <c r="G45" s="64"/>
      <c r="H45" s="67"/>
      <c r="I45" s="46"/>
    </row>
    <row r="46" spans="2:9" ht="20.25" customHeight="1" x14ac:dyDescent="0.25">
      <c r="B46" s="44" t="s">
        <v>135</v>
      </c>
      <c r="C46" s="51" t="s">
        <v>112</v>
      </c>
      <c r="D46" s="53"/>
      <c r="E46" s="53"/>
      <c r="F46" s="52"/>
      <c r="G46" s="64"/>
      <c r="H46" s="67"/>
      <c r="I46" s="46"/>
    </row>
    <row r="47" spans="2:9" ht="20.25" customHeight="1" x14ac:dyDescent="0.25">
      <c r="B47" s="44" t="s">
        <v>136</v>
      </c>
      <c r="C47" s="51" t="s">
        <v>113</v>
      </c>
      <c r="D47" s="53"/>
      <c r="E47" s="53"/>
      <c r="F47" s="52"/>
      <c r="G47" s="64"/>
      <c r="H47" s="67"/>
      <c r="I47" s="46"/>
    </row>
    <row r="48" spans="2:9" ht="20.25" customHeight="1" x14ac:dyDescent="0.25">
      <c r="B48" s="44" t="s">
        <v>137</v>
      </c>
      <c r="C48" s="51" t="s">
        <v>114</v>
      </c>
      <c r="D48" s="53"/>
      <c r="E48" s="53"/>
      <c r="F48" s="52"/>
      <c r="G48" s="64"/>
      <c r="H48" s="67"/>
      <c r="I48" s="46"/>
    </row>
    <row r="49" spans="2:9" ht="20.25" customHeight="1" x14ac:dyDescent="0.25">
      <c r="B49" s="44" t="s">
        <v>138</v>
      </c>
      <c r="C49" s="51" t="s">
        <v>115</v>
      </c>
      <c r="D49" s="53"/>
      <c r="E49" s="53"/>
      <c r="F49" s="52"/>
      <c r="G49" s="64"/>
      <c r="H49" s="67"/>
      <c r="I49" s="46"/>
    </row>
    <row r="50" spans="2:9" ht="20.25" customHeight="1" x14ac:dyDescent="0.25">
      <c r="B50" s="44" t="s">
        <v>139</v>
      </c>
      <c r="C50" s="51" t="s">
        <v>116</v>
      </c>
      <c r="D50" s="53"/>
      <c r="E50" s="53"/>
      <c r="F50" s="52"/>
      <c r="G50" s="64"/>
      <c r="H50" s="67"/>
      <c r="I50" s="46"/>
    </row>
    <row r="51" spans="2:9" ht="20.25" customHeight="1" x14ac:dyDescent="0.25">
      <c r="B51" s="44" t="s">
        <v>140</v>
      </c>
      <c r="C51" s="51" t="s">
        <v>117</v>
      </c>
      <c r="D51" s="53"/>
      <c r="E51" s="53"/>
      <c r="F51" s="52"/>
      <c r="G51" s="64"/>
      <c r="H51" s="67"/>
      <c r="I51" s="46"/>
    </row>
    <row r="52" spans="2:9" ht="20.25" customHeight="1" x14ac:dyDescent="0.25">
      <c r="B52" s="44" t="s">
        <v>141</v>
      </c>
      <c r="C52" s="51" t="s">
        <v>118</v>
      </c>
      <c r="D52" s="53"/>
      <c r="E52" s="53"/>
      <c r="F52" s="52"/>
      <c r="G52" s="64"/>
      <c r="H52" s="67"/>
      <c r="I52" s="46"/>
    </row>
    <row r="53" spans="2:9" ht="20.25" customHeight="1" x14ac:dyDescent="0.25">
      <c r="B53" s="44" t="s">
        <v>148</v>
      </c>
      <c r="C53" s="205" t="s">
        <v>147</v>
      </c>
      <c r="D53" s="206"/>
      <c r="E53" s="206"/>
      <c r="F53" s="207"/>
      <c r="G53" s="64"/>
      <c r="H53" s="67"/>
      <c r="I53" s="46"/>
    </row>
    <row r="54" spans="2:9" ht="20.25" customHeight="1" x14ac:dyDescent="0.25">
      <c r="B54" s="44" t="s">
        <v>149</v>
      </c>
      <c r="C54" s="205" t="s">
        <v>142</v>
      </c>
      <c r="D54" s="206"/>
      <c r="E54" s="206"/>
      <c r="F54" s="207"/>
      <c r="G54" s="64"/>
      <c r="H54" s="67"/>
      <c r="I54" s="46"/>
    </row>
    <row r="55" spans="2:9" ht="20.25" customHeight="1" x14ac:dyDescent="0.25">
      <c r="B55" s="44" t="s">
        <v>150</v>
      </c>
      <c r="C55" s="205" t="s">
        <v>143</v>
      </c>
      <c r="D55" s="206"/>
      <c r="E55" s="206"/>
      <c r="F55" s="207"/>
      <c r="G55" s="64"/>
      <c r="H55" s="67"/>
      <c r="I55" s="46"/>
    </row>
    <row r="56" spans="2:9" ht="20.25" customHeight="1" x14ac:dyDescent="0.25">
      <c r="B56" s="44" t="s">
        <v>151</v>
      </c>
      <c r="C56" s="205" t="s">
        <v>144</v>
      </c>
      <c r="D56" s="206"/>
      <c r="E56" s="206"/>
      <c r="F56" s="207"/>
      <c r="G56" s="64"/>
      <c r="H56" s="67"/>
      <c r="I56" s="46"/>
    </row>
    <row r="57" spans="2:9" ht="20.25" customHeight="1" x14ac:dyDescent="0.25">
      <c r="B57" s="44" t="s">
        <v>152</v>
      </c>
      <c r="C57" s="205" t="s">
        <v>145</v>
      </c>
      <c r="D57" s="206"/>
      <c r="E57" s="206"/>
      <c r="F57" s="207"/>
      <c r="G57" s="64"/>
      <c r="H57" s="67"/>
      <c r="I57" s="46"/>
    </row>
    <row r="58" spans="2:9" ht="20.25" customHeight="1" x14ac:dyDescent="0.25">
      <c r="B58" s="44" t="s">
        <v>153</v>
      </c>
      <c r="C58" s="205" t="s">
        <v>146</v>
      </c>
      <c r="D58" s="206"/>
      <c r="E58" s="206"/>
      <c r="F58" s="207"/>
      <c r="G58" s="64"/>
      <c r="H58" s="67"/>
      <c r="I58" s="46"/>
    </row>
    <row r="59" spans="2:9" ht="20.25" customHeight="1" x14ac:dyDescent="0.25">
      <c r="B59" s="90"/>
      <c r="C59" s="51"/>
      <c r="D59" s="53"/>
      <c r="E59" s="53"/>
      <c r="F59" s="52"/>
      <c r="G59" s="64"/>
      <c r="H59" s="67"/>
      <c r="I59" s="46"/>
    </row>
    <row r="60" spans="2:9" ht="20.25" customHeight="1" x14ac:dyDescent="0.25">
      <c r="B60" s="90"/>
      <c r="C60" s="194" t="s">
        <v>154</v>
      </c>
      <c r="D60" s="195"/>
      <c r="E60" s="195"/>
      <c r="F60" s="208"/>
      <c r="G60" s="64"/>
      <c r="H60" s="95"/>
      <c r="I60" s="108">
        <v>217860</v>
      </c>
    </row>
    <row r="61" spans="2:9" ht="20.25" customHeight="1" x14ac:dyDescent="0.25">
      <c r="B61" s="90"/>
      <c r="C61" s="194" t="s">
        <v>155</v>
      </c>
      <c r="D61" s="195"/>
      <c r="E61" s="195"/>
      <c r="F61" s="208"/>
      <c r="G61" s="64"/>
      <c r="H61" s="95"/>
      <c r="I61" s="119">
        <v>3488</v>
      </c>
    </row>
    <row r="62" spans="2:9" ht="20.25" customHeight="1" x14ac:dyDescent="0.25">
      <c r="B62" s="90"/>
      <c r="C62" s="197" t="s">
        <v>156</v>
      </c>
      <c r="D62" s="198"/>
      <c r="E62" s="198"/>
      <c r="F62" s="209"/>
      <c r="G62" s="64"/>
      <c r="H62" s="95"/>
      <c r="I62" s="120">
        <v>221348</v>
      </c>
    </row>
    <row r="63" spans="2:9" ht="20.25" customHeight="1" x14ac:dyDescent="0.3">
      <c r="B63" s="90"/>
      <c r="C63" s="98"/>
      <c r="D63" s="93"/>
      <c r="E63" s="93"/>
      <c r="F63" s="96"/>
      <c r="G63" s="64"/>
      <c r="H63" s="67"/>
      <c r="I63" s="121"/>
    </row>
    <row r="64" spans="2:9" ht="20.25" customHeight="1" x14ac:dyDescent="0.25">
      <c r="B64" s="91"/>
      <c r="C64" s="210" t="s">
        <v>158</v>
      </c>
      <c r="D64" s="211"/>
      <c r="E64" s="211"/>
      <c r="F64" s="212"/>
      <c r="G64" s="64"/>
      <c r="H64" s="67"/>
      <c r="I64" s="122"/>
    </row>
    <row r="65" spans="2:9" ht="20.25" customHeight="1" x14ac:dyDescent="0.25">
      <c r="B65" s="97" t="s">
        <v>157</v>
      </c>
      <c r="C65" s="210"/>
      <c r="D65" s="211"/>
      <c r="E65" s="211"/>
      <c r="F65" s="212"/>
      <c r="G65" s="64"/>
      <c r="H65" s="67"/>
      <c r="I65" s="122"/>
    </row>
    <row r="66" spans="2:9" ht="20.25" customHeight="1" x14ac:dyDescent="0.25">
      <c r="B66" s="99">
        <v>2</v>
      </c>
      <c r="C66" s="213" t="s">
        <v>159</v>
      </c>
      <c r="D66" s="214"/>
      <c r="E66" s="214"/>
      <c r="F66" s="215"/>
      <c r="G66" s="64"/>
      <c r="H66" s="67"/>
      <c r="I66" s="122"/>
    </row>
    <row r="67" spans="2:9" ht="20.25" customHeight="1" x14ac:dyDescent="0.25">
      <c r="B67" s="92">
        <v>2.0099999999999998</v>
      </c>
      <c r="C67" s="91" t="s">
        <v>160</v>
      </c>
      <c r="D67" s="53"/>
      <c r="E67" s="53"/>
      <c r="F67" s="53"/>
      <c r="G67" s="104" t="s">
        <v>104</v>
      </c>
      <c r="H67" s="124">
        <v>3300</v>
      </c>
      <c r="I67" s="124">
        <v>3300</v>
      </c>
    </row>
    <row r="68" spans="2:9" ht="20.25" customHeight="1" x14ac:dyDescent="0.25">
      <c r="B68" s="92">
        <v>2.02</v>
      </c>
      <c r="C68" s="91" t="s">
        <v>161</v>
      </c>
      <c r="D68" s="53"/>
      <c r="E68" s="53"/>
      <c r="F68" s="53"/>
      <c r="G68" s="104" t="s">
        <v>104</v>
      </c>
      <c r="H68" s="124">
        <v>700</v>
      </c>
      <c r="I68" s="124">
        <v>700</v>
      </c>
    </row>
    <row r="69" spans="2:9" ht="20.25" customHeight="1" x14ac:dyDescent="0.25">
      <c r="B69" s="92">
        <v>2.0299999999999998</v>
      </c>
      <c r="C69" s="91" t="s">
        <v>162</v>
      </c>
      <c r="D69" s="53"/>
      <c r="E69" s="53"/>
      <c r="F69" s="53"/>
      <c r="G69" s="104" t="s">
        <v>167</v>
      </c>
      <c r="H69" s="124">
        <v>5500</v>
      </c>
      <c r="I69" s="124">
        <v>11000</v>
      </c>
    </row>
    <row r="70" spans="2:9" ht="20.25" customHeight="1" x14ac:dyDescent="0.25">
      <c r="B70" s="92">
        <v>2.04</v>
      </c>
      <c r="C70" s="91" t="s">
        <v>163</v>
      </c>
      <c r="D70" s="53"/>
      <c r="E70" s="53"/>
      <c r="F70" s="53"/>
      <c r="G70" s="104" t="s">
        <v>167</v>
      </c>
      <c r="H70" s="124">
        <v>3500</v>
      </c>
      <c r="I70" s="124">
        <v>7000</v>
      </c>
    </row>
    <row r="71" spans="2:9" ht="20.25" customHeight="1" x14ac:dyDescent="0.25">
      <c r="B71" s="92">
        <v>2.0499999999999998</v>
      </c>
      <c r="C71" s="91" t="s">
        <v>164</v>
      </c>
      <c r="D71" s="53"/>
      <c r="E71" s="53"/>
      <c r="F71" s="53"/>
      <c r="G71" s="104" t="s">
        <v>168</v>
      </c>
      <c r="H71" s="124">
        <v>180</v>
      </c>
      <c r="I71" s="124">
        <v>540</v>
      </c>
    </row>
    <row r="72" spans="2:9" ht="20.25" customHeight="1" x14ac:dyDescent="0.25">
      <c r="B72" s="92">
        <v>2.06</v>
      </c>
      <c r="C72" s="91" t="s">
        <v>165</v>
      </c>
      <c r="D72" s="53"/>
      <c r="E72" s="53"/>
      <c r="F72" s="53"/>
      <c r="G72" s="104" t="s">
        <v>104</v>
      </c>
      <c r="H72" s="124">
        <v>580</v>
      </c>
      <c r="I72" s="124">
        <v>580</v>
      </c>
    </row>
    <row r="73" spans="2:9" ht="20.25" customHeight="1" x14ac:dyDescent="0.25">
      <c r="B73" s="92">
        <v>2.0699999999999998</v>
      </c>
      <c r="C73" s="91" t="s">
        <v>166</v>
      </c>
      <c r="D73" s="53"/>
      <c r="E73" s="53"/>
      <c r="F73" s="53"/>
      <c r="G73" s="104" t="s">
        <v>104</v>
      </c>
      <c r="H73" s="124">
        <v>580</v>
      </c>
      <c r="I73" s="124">
        <v>580</v>
      </c>
    </row>
    <row r="74" spans="2:9" ht="20.25" customHeight="1" x14ac:dyDescent="0.25">
      <c r="B74" s="92">
        <v>2.08</v>
      </c>
      <c r="C74" s="91" t="s">
        <v>91</v>
      </c>
      <c r="D74" s="53"/>
      <c r="E74" s="53"/>
      <c r="F74" s="53"/>
      <c r="G74" s="104" t="s">
        <v>102</v>
      </c>
      <c r="H74" s="124">
        <v>1000</v>
      </c>
      <c r="I74" s="124">
        <v>1000</v>
      </c>
    </row>
    <row r="75" spans="2:9" ht="20.25" customHeight="1" x14ac:dyDescent="0.25">
      <c r="B75" s="128"/>
      <c r="C75" s="129"/>
      <c r="D75" s="130"/>
      <c r="E75" s="130"/>
      <c r="F75" s="131"/>
      <c r="G75" s="132"/>
      <c r="H75" s="133"/>
      <c r="I75" s="134"/>
    </row>
    <row r="76" spans="2:9" ht="20.25" customHeight="1" x14ac:dyDescent="0.25">
      <c r="B76" s="90"/>
      <c r="C76" s="53"/>
      <c r="D76" s="53"/>
      <c r="E76" s="53"/>
      <c r="F76" s="52"/>
      <c r="G76" s="64"/>
      <c r="H76" s="67"/>
      <c r="I76" s="122"/>
    </row>
    <row r="77" spans="2:9" ht="36" customHeight="1" x14ac:dyDescent="0.25">
      <c r="B77" s="135"/>
      <c r="C77" s="216" t="s">
        <v>169</v>
      </c>
      <c r="D77" s="217"/>
      <c r="E77" s="217"/>
      <c r="F77" s="218"/>
      <c r="G77" s="136"/>
      <c r="H77" s="137"/>
      <c r="I77" s="138"/>
    </row>
    <row r="78" spans="2:9" ht="20.25" customHeight="1" x14ac:dyDescent="0.25">
      <c r="B78" s="139">
        <v>1.1200000000000001</v>
      </c>
      <c r="C78" s="206" t="s">
        <v>170</v>
      </c>
      <c r="D78" s="206"/>
      <c r="E78" s="206"/>
      <c r="F78" s="206"/>
      <c r="G78" s="104" t="s">
        <v>102</v>
      </c>
      <c r="H78" s="108">
        <v>5300</v>
      </c>
      <c r="I78" s="140">
        <v>5300</v>
      </c>
    </row>
    <row r="79" spans="2:9" ht="20.25" customHeight="1" x14ac:dyDescent="0.25">
      <c r="B79" s="139">
        <v>1.1299999999999999</v>
      </c>
      <c r="C79" s="206" t="s">
        <v>171</v>
      </c>
      <c r="D79" s="206"/>
      <c r="E79" s="206"/>
      <c r="F79" s="207"/>
      <c r="G79" s="64"/>
      <c r="H79" s="67"/>
      <c r="I79" s="122"/>
    </row>
    <row r="80" spans="2:9" ht="20.25" customHeight="1" x14ac:dyDescent="0.25">
      <c r="B80" s="139">
        <v>1.1399999999999999</v>
      </c>
      <c r="C80" s="206" t="s">
        <v>172</v>
      </c>
      <c r="D80" s="206"/>
      <c r="E80" s="206"/>
      <c r="F80" s="207"/>
      <c r="G80" s="64"/>
      <c r="H80" s="67"/>
      <c r="I80" s="122"/>
    </row>
    <row r="81" spans="2:9" ht="39.75" customHeight="1" x14ac:dyDescent="0.25">
      <c r="B81" s="139">
        <v>1.1499999999999999</v>
      </c>
      <c r="C81" s="206" t="s">
        <v>173</v>
      </c>
      <c r="D81" s="206"/>
      <c r="E81" s="206"/>
      <c r="F81" s="207"/>
      <c r="G81" s="64"/>
      <c r="H81" s="67"/>
      <c r="I81" s="122"/>
    </row>
    <row r="82" spans="2:9" ht="20.25" customHeight="1" x14ac:dyDescent="0.25">
      <c r="B82" s="139">
        <v>1.1599999999999999</v>
      </c>
      <c r="C82" s="206" t="s">
        <v>174</v>
      </c>
      <c r="D82" s="206"/>
      <c r="E82" s="206"/>
      <c r="F82" s="207"/>
      <c r="G82" s="64"/>
      <c r="H82" s="67"/>
      <c r="I82" s="122"/>
    </row>
    <row r="83" spans="2:9" ht="20.25" customHeight="1" x14ac:dyDescent="0.25">
      <c r="B83" s="139">
        <v>1.17</v>
      </c>
      <c r="C83" s="206" t="s">
        <v>175</v>
      </c>
      <c r="D83" s="206"/>
      <c r="E83" s="206"/>
      <c r="F83" s="207"/>
      <c r="G83" s="64"/>
      <c r="H83" s="67"/>
      <c r="I83" s="122"/>
    </row>
    <row r="84" spans="2:9" ht="20.25" customHeight="1" x14ac:dyDescent="0.25">
      <c r="B84" s="139">
        <v>1.18</v>
      </c>
      <c r="C84" s="206" t="s">
        <v>176</v>
      </c>
      <c r="D84" s="206"/>
      <c r="E84" s="206"/>
      <c r="F84" s="207"/>
      <c r="G84" s="64"/>
      <c r="H84" s="67"/>
      <c r="I84" s="122"/>
    </row>
    <row r="85" spans="2:9" ht="20.25" customHeight="1" x14ac:dyDescent="0.25">
      <c r="B85" s="139">
        <v>1.19</v>
      </c>
      <c r="C85" s="206" t="s">
        <v>177</v>
      </c>
      <c r="D85" s="206"/>
      <c r="E85" s="206"/>
      <c r="F85" s="207"/>
      <c r="G85" s="64"/>
      <c r="H85" s="67"/>
      <c r="I85" s="122"/>
    </row>
    <row r="86" spans="2:9" ht="20.25" customHeight="1" x14ac:dyDescent="0.25">
      <c r="B86" s="44"/>
      <c r="C86" s="51"/>
      <c r="D86" s="53"/>
      <c r="E86" s="53"/>
      <c r="F86" s="52"/>
      <c r="G86" s="64"/>
      <c r="H86" s="67"/>
      <c r="I86" s="122"/>
    </row>
    <row r="87" spans="2:9" ht="20.25" customHeight="1" x14ac:dyDescent="0.25">
      <c r="B87" s="90"/>
      <c r="C87" s="194" t="s">
        <v>178</v>
      </c>
      <c r="D87" s="195"/>
      <c r="E87" s="195"/>
      <c r="F87" s="196"/>
      <c r="G87" s="55"/>
      <c r="H87" s="67"/>
      <c r="I87" s="126">
        <v>30000</v>
      </c>
    </row>
    <row r="88" spans="2:9" ht="20.25" customHeight="1" x14ac:dyDescent="0.25">
      <c r="B88" s="90"/>
      <c r="C88" s="194" t="s">
        <v>179</v>
      </c>
      <c r="D88" s="195"/>
      <c r="E88" s="195"/>
      <c r="F88" s="196"/>
      <c r="G88" s="55"/>
      <c r="H88" s="67"/>
      <c r="I88" s="127">
        <v>424</v>
      </c>
    </row>
    <row r="89" spans="2:9" ht="20.25" customHeight="1" x14ac:dyDescent="0.25">
      <c r="B89" s="90"/>
      <c r="C89" s="197" t="s">
        <v>180</v>
      </c>
      <c r="D89" s="198"/>
      <c r="E89" s="198"/>
      <c r="F89" s="199"/>
      <c r="G89" s="55"/>
      <c r="H89" s="67"/>
      <c r="I89" s="113">
        <v>30424</v>
      </c>
    </row>
    <row r="90" spans="2:9" ht="20.25" customHeight="1" x14ac:dyDescent="0.25">
      <c r="B90" s="44"/>
      <c r="C90" s="51"/>
      <c r="D90" s="53"/>
      <c r="E90" s="53"/>
      <c r="F90" s="52"/>
      <c r="G90" s="64"/>
      <c r="H90" s="67"/>
      <c r="I90" s="122"/>
    </row>
    <row r="91" spans="2:9" ht="33" customHeight="1" x14ac:dyDescent="0.25">
      <c r="B91" s="141" t="s">
        <v>181</v>
      </c>
      <c r="C91" s="200" t="s">
        <v>182</v>
      </c>
      <c r="D91" s="200"/>
      <c r="E91" s="200"/>
      <c r="F91" s="200"/>
      <c r="G91" s="107"/>
      <c r="H91" s="107"/>
      <c r="I91" s="142"/>
    </row>
    <row r="92" spans="2:9" ht="20.25" customHeight="1" x14ac:dyDescent="0.25">
      <c r="B92" s="143" t="s">
        <v>214</v>
      </c>
      <c r="C92" s="201" t="s">
        <v>183</v>
      </c>
      <c r="D92" s="201"/>
      <c r="E92" s="201"/>
      <c r="F92" s="201"/>
      <c r="G92" s="107"/>
      <c r="H92" s="107"/>
      <c r="I92" s="142"/>
    </row>
    <row r="93" spans="2:9" ht="20.25" customHeight="1" x14ac:dyDescent="0.25">
      <c r="B93" s="139">
        <v>3.01</v>
      </c>
      <c r="C93" s="190" t="s">
        <v>184</v>
      </c>
      <c r="D93" s="190"/>
      <c r="E93" s="190"/>
      <c r="F93" s="190"/>
      <c r="G93" s="104" t="s">
        <v>104</v>
      </c>
      <c r="H93" s="108">
        <v>12900</v>
      </c>
      <c r="I93" s="140">
        <v>12900</v>
      </c>
    </row>
    <row r="94" spans="2:9" ht="20.25" customHeight="1" x14ac:dyDescent="0.25">
      <c r="B94" s="139">
        <v>3.02</v>
      </c>
      <c r="C94" s="190" t="s">
        <v>185</v>
      </c>
      <c r="D94" s="190"/>
      <c r="E94" s="190"/>
      <c r="F94" s="190"/>
      <c r="G94" s="104" t="s">
        <v>103</v>
      </c>
      <c r="H94" s="108">
        <v>30500</v>
      </c>
      <c r="I94" s="140">
        <v>61000</v>
      </c>
    </row>
    <row r="95" spans="2:9" ht="20.25" customHeight="1" x14ac:dyDescent="0.25">
      <c r="B95" s="139">
        <v>3.03</v>
      </c>
      <c r="C95" s="190" t="s">
        <v>186</v>
      </c>
      <c r="D95" s="190"/>
      <c r="E95" s="190"/>
      <c r="F95" s="190"/>
      <c r="G95" s="104" t="s">
        <v>104</v>
      </c>
      <c r="H95" s="108">
        <v>88000</v>
      </c>
      <c r="I95" s="108">
        <v>88000</v>
      </c>
    </row>
    <row r="96" spans="2:9" ht="20.25" customHeight="1" x14ac:dyDescent="0.25">
      <c r="B96" s="139">
        <v>3.04</v>
      </c>
      <c r="C96" s="190" t="s">
        <v>187</v>
      </c>
      <c r="D96" s="190"/>
      <c r="E96" s="190"/>
      <c r="F96" s="190"/>
      <c r="G96" s="104" t="s">
        <v>188</v>
      </c>
      <c r="H96" s="108">
        <v>3500</v>
      </c>
      <c r="I96" s="108">
        <v>3500</v>
      </c>
    </row>
    <row r="97" spans="2:9" ht="20.25" customHeight="1" x14ac:dyDescent="0.25">
      <c r="B97" s="139">
        <v>3.05</v>
      </c>
      <c r="C97" s="190" t="s">
        <v>189</v>
      </c>
      <c r="D97" s="190"/>
      <c r="E97" s="190"/>
      <c r="F97" s="190"/>
      <c r="G97" s="104" t="s">
        <v>188</v>
      </c>
      <c r="H97" s="108">
        <v>4800</v>
      </c>
      <c r="I97" s="108">
        <v>4800</v>
      </c>
    </row>
    <row r="98" spans="2:9" ht="20.25" customHeight="1" x14ac:dyDescent="0.25">
      <c r="B98" s="139">
        <v>3.06</v>
      </c>
      <c r="C98" s="190" t="s">
        <v>190</v>
      </c>
      <c r="D98" s="190"/>
      <c r="E98" s="190"/>
      <c r="F98" s="190"/>
      <c r="G98" s="104" t="s">
        <v>104</v>
      </c>
      <c r="H98" s="108">
        <v>5300</v>
      </c>
      <c r="I98" s="108">
        <v>5300</v>
      </c>
    </row>
    <row r="99" spans="2:9" ht="20.25" customHeight="1" x14ac:dyDescent="0.25">
      <c r="B99" s="139">
        <v>3.07</v>
      </c>
      <c r="C99" s="190" t="s">
        <v>191</v>
      </c>
      <c r="D99" s="190"/>
      <c r="E99" s="190"/>
      <c r="F99" s="190"/>
      <c r="G99" s="104" t="s">
        <v>104</v>
      </c>
      <c r="H99" s="108">
        <v>4800</v>
      </c>
      <c r="I99" s="108">
        <v>4800</v>
      </c>
    </row>
    <row r="100" spans="2:9" ht="20.25" customHeight="1" x14ac:dyDescent="0.25">
      <c r="B100" s="139">
        <v>3.08</v>
      </c>
      <c r="C100" s="190" t="s">
        <v>192</v>
      </c>
      <c r="D100" s="190"/>
      <c r="E100" s="190"/>
      <c r="F100" s="190"/>
      <c r="G100" s="104" t="s">
        <v>105</v>
      </c>
      <c r="H100" s="108">
        <v>10000</v>
      </c>
      <c r="I100" s="108">
        <v>10000</v>
      </c>
    </row>
    <row r="101" spans="2:9" ht="20.25" customHeight="1" x14ac:dyDescent="0.25">
      <c r="B101" s="139">
        <v>3.09</v>
      </c>
      <c r="C101" s="190" t="s">
        <v>193</v>
      </c>
      <c r="D101" s="190"/>
      <c r="E101" s="190"/>
      <c r="F101" s="190"/>
      <c r="G101" s="104" t="s">
        <v>104</v>
      </c>
      <c r="H101" s="108">
        <v>1200</v>
      </c>
      <c r="I101" s="108">
        <v>1200</v>
      </c>
    </row>
    <row r="102" spans="2:9" ht="20.25" customHeight="1" x14ac:dyDescent="0.25">
      <c r="B102" s="144" t="s">
        <v>215</v>
      </c>
      <c r="C102" s="190" t="s">
        <v>194</v>
      </c>
      <c r="D102" s="190"/>
      <c r="E102" s="190"/>
      <c r="F102" s="190"/>
      <c r="G102" s="104" t="s">
        <v>104</v>
      </c>
      <c r="H102" s="108">
        <v>1050</v>
      </c>
      <c r="I102" s="108">
        <v>1050</v>
      </c>
    </row>
    <row r="103" spans="2:9" ht="20.25" customHeight="1" x14ac:dyDescent="0.25">
      <c r="B103" s="139">
        <v>3.11</v>
      </c>
      <c r="C103" s="190" t="s">
        <v>195</v>
      </c>
      <c r="D103" s="190"/>
      <c r="E103" s="190"/>
      <c r="F103" s="190"/>
      <c r="G103" s="104" t="s">
        <v>102</v>
      </c>
      <c r="H103" s="108">
        <v>18000</v>
      </c>
      <c r="I103" s="140">
        <v>18000</v>
      </c>
    </row>
    <row r="104" spans="2:9" ht="20.25" customHeight="1" x14ac:dyDescent="0.25">
      <c r="B104" s="44"/>
      <c r="C104" s="51"/>
      <c r="D104" s="53"/>
      <c r="E104" s="53"/>
      <c r="F104" s="52"/>
      <c r="G104" s="64"/>
      <c r="H104" s="67"/>
      <c r="I104" s="46"/>
    </row>
    <row r="105" spans="2:9" ht="39" customHeight="1" x14ac:dyDescent="0.25">
      <c r="B105" s="44"/>
      <c r="C105" s="191" t="s">
        <v>196</v>
      </c>
      <c r="D105" s="192"/>
      <c r="E105" s="192"/>
      <c r="F105" s="193"/>
      <c r="G105" s="64"/>
      <c r="H105" s="67"/>
      <c r="I105" s="46"/>
    </row>
    <row r="106" spans="2:9" ht="20.25" customHeight="1" x14ac:dyDescent="0.25">
      <c r="B106" s="44" t="s">
        <v>197</v>
      </c>
      <c r="C106" s="187" t="s">
        <v>198</v>
      </c>
      <c r="D106" s="188"/>
      <c r="E106" s="188"/>
      <c r="F106" s="189"/>
      <c r="G106" s="109" t="s">
        <v>102</v>
      </c>
      <c r="H106" s="110">
        <v>30490</v>
      </c>
      <c r="I106" s="110">
        <v>30490</v>
      </c>
    </row>
    <row r="107" spans="2:9" ht="20.25" customHeight="1" x14ac:dyDescent="0.25">
      <c r="B107" s="44" t="s">
        <v>199</v>
      </c>
      <c r="C107" s="187" t="s">
        <v>200</v>
      </c>
      <c r="D107" s="188"/>
      <c r="E107" s="188"/>
      <c r="F107" s="189"/>
      <c r="G107" s="64"/>
      <c r="H107" s="67"/>
      <c r="I107" s="46"/>
    </row>
    <row r="108" spans="2:9" ht="20.25" customHeight="1" x14ac:dyDescent="0.25">
      <c r="B108" s="44" t="s">
        <v>201</v>
      </c>
      <c r="C108" s="187" t="s">
        <v>202</v>
      </c>
      <c r="D108" s="188"/>
      <c r="E108" s="188"/>
      <c r="F108" s="189"/>
      <c r="G108" s="64"/>
      <c r="H108" s="67"/>
      <c r="I108" s="46"/>
    </row>
    <row r="109" spans="2:9" ht="20.25" customHeight="1" x14ac:dyDescent="0.25">
      <c r="B109" s="44" t="s">
        <v>203</v>
      </c>
      <c r="C109" s="187" t="s">
        <v>204</v>
      </c>
      <c r="D109" s="188"/>
      <c r="E109" s="188"/>
      <c r="F109" s="189"/>
      <c r="G109" s="64"/>
      <c r="H109" s="67"/>
      <c r="I109" s="46"/>
    </row>
    <row r="110" spans="2:9" ht="20.25" customHeight="1" x14ac:dyDescent="0.25">
      <c r="B110" s="44" t="s">
        <v>205</v>
      </c>
      <c r="C110" s="187" t="s">
        <v>206</v>
      </c>
      <c r="D110" s="188"/>
      <c r="E110" s="188"/>
      <c r="F110" s="189"/>
      <c r="G110" s="64"/>
      <c r="H110" s="67"/>
      <c r="I110" s="46"/>
    </row>
    <row r="111" spans="2:9" ht="20.25" customHeight="1" x14ac:dyDescent="0.25">
      <c r="B111" s="44" t="s">
        <v>207</v>
      </c>
      <c r="C111" s="187" t="s">
        <v>208</v>
      </c>
      <c r="D111" s="188"/>
      <c r="E111" s="188"/>
      <c r="F111" s="189"/>
      <c r="G111" s="64"/>
      <c r="H111" s="67"/>
      <c r="I111" s="46"/>
    </row>
    <row r="112" spans="2:9" ht="20.25" customHeight="1" x14ac:dyDescent="0.25">
      <c r="B112" s="44" t="s">
        <v>209</v>
      </c>
      <c r="C112" s="187" t="s">
        <v>210</v>
      </c>
      <c r="D112" s="188"/>
      <c r="E112" s="188"/>
      <c r="F112" s="189"/>
      <c r="G112" s="64"/>
      <c r="H112" s="67"/>
      <c r="I112" s="46"/>
    </row>
    <row r="113" spans="2:9" ht="20.25" customHeight="1" x14ac:dyDescent="0.25">
      <c r="B113" s="44" t="s">
        <v>211</v>
      </c>
      <c r="C113" s="187" t="s">
        <v>212</v>
      </c>
      <c r="D113" s="188"/>
      <c r="E113" s="188"/>
      <c r="F113" s="189"/>
      <c r="G113" s="64"/>
      <c r="H113" s="67"/>
      <c r="I113" s="46"/>
    </row>
    <row r="114" spans="2:9" ht="20.25" customHeight="1" x14ac:dyDescent="0.25">
      <c r="B114" s="44" t="s">
        <v>216</v>
      </c>
      <c r="C114" s="187" t="s">
        <v>213</v>
      </c>
      <c r="D114" s="188"/>
      <c r="E114" s="188"/>
      <c r="F114" s="189"/>
      <c r="G114" s="64"/>
      <c r="H114" s="67"/>
      <c r="I114" s="46"/>
    </row>
    <row r="115" spans="2:9" ht="20.25" customHeight="1" x14ac:dyDescent="0.25">
      <c r="B115" s="90"/>
      <c r="C115" s="181" t="s">
        <v>217</v>
      </c>
      <c r="D115" s="182"/>
      <c r="E115" s="182"/>
      <c r="F115" s="183"/>
      <c r="G115" s="55"/>
      <c r="H115" s="67"/>
      <c r="I115" s="112">
        <v>257640</v>
      </c>
    </row>
    <row r="116" spans="2:9" ht="20.25" customHeight="1" x14ac:dyDescent="0.25">
      <c r="B116" s="90"/>
      <c r="C116" s="181" t="s">
        <v>218</v>
      </c>
      <c r="D116" s="182"/>
      <c r="E116" s="182"/>
      <c r="F116" s="183"/>
      <c r="G116" s="55"/>
      <c r="H116" s="67"/>
      <c r="I116" s="112">
        <v>2439.1999999999998</v>
      </c>
    </row>
    <row r="117" spans="2:9" ht="20.25" customHeight="1" x14ac:dyDescent="0.25">
      <c r="B117" s="90"/>
      <c r="C117" s="184" t="s">
        <v>219</v>
      </c>
      <c r="D117" s="185"/>
      <c r="E117" s="185"/>
      <c r="F117" s="186"/>
      <c r="G117" s="55"/>
      <c r="H117" s="67"/>
      <c r="I117" s="113">
        <v>260079.2</v>
      </c>
    </row>
    <row r="118" spans="2:9" ht="20.25" customHeight="1" x14ac:dyDescent="0.3">
      <c r="B118" s="90"/>
      <c r="C118" s="94"/>
      <c r="D118" s="93"/>
      <c r="E118" s="93"/>
      <c r="F118" s="106"/>
      <c r="G118" s="55"/>
      <c r="H118" s="67"/>
      <c r="I118" s="111"/>
    </row>
    <row r="119" spans="2:9" ht="20.25" customHeight="1" x14ac:dyDescent="0.25">
      <c r="B119" s="90"/>
      <c r="C119" s="181" t="s">
        <v>220</v>
      </c>
      <c r="D119" s="182"/>
      <c r="E119" s="182"/>
      <c r="F119" s="183"/>
      <c r="G119" s="55"/>
      <c r="H119" s="67"/>
      <c r="I119" s="114">
        <v>505500</v>
      </c>
    </row>
    <row r="120" spans="2:9" ht="20.25" customHeight="1" x14ac:dyDescent="0.25">
      <c r="B120" s="90"/>
      <c r="C120" s="181" t="s">
        <v>221</v>
      </c>
      <c r="D120" s="182"/>
      <c r="E120" s="182"/>
      <c r="F120" s="183"/>
      <c r="G120" s="55"/>
      <c r="H120" s="67"/>
      <c r="I120" s="115">
        <v>15165</v>
      </c>
    </row>
    <row r="121" spans="2:9" ht="20.25" customHeight="1" x14ac:dyDescent="0.25">
      <c r="B121" s="90"/>
      <c r="C121" s="181" t="s">
        <v>222</v>
      </c>
      <c r="D121" s="182"/>
      <c r="E121" s="182"/>
      <c r="F121" s="183"/>
      <c r="G121" s="55"/>
      <c r="H121" s="67"/>
      <c r="I121" s="114">
        <v>490335</v>
      </c>
    </row>
    <row r="122" spans="2:9" ht="20.25" customHeight="1" x14ac:dyDescent="0.25">
      <c r="B122" s="90"/>
      <c r="C122" s="181" t="s">
        <v>223</v>
      </c>
      <c r="D122" s="182"/>
      <c r="E122" s="182"/>
      <c r="F122" s="183"/>
      <c r="G122" s="55"/>
      <c r="H122" s="67"/>
      <c r="I122" s="115">
        <v>6351.2</v>
      </c>
    </row>
    <row r="123" spans="2:9" ht="20.25" customHeight="1" x14ac:dyDescent="0.25">
      <c r="B123" s="90"/>
      <c r="C123" s="184" t="s">
        <v>224</v>
      </c>
      <c r="D123" s="185"/>
      <c r="E123" s="185"/>
      <c r="F123" s="186"/>
      <c r="G123" s="55"/>
      <c r="H123" s="67"/>
      <c r="I123" s="116">
        <v>496686.2</v>
      </c>
    </row>
    <row r="124" spans="2:9" ht="20.25" customHeight="1" x14ac:dyDescent="0.25">
      <c r="B124" s="44"/>
      <c r="C124" s="51"/>
      <c r="D124" s="53"/>
      <c r="E124" s="53"/>
      <c r="F124" s="52"/>
      <c r="G124" s="64"/>
      <c r="H124" s="67"/>
      <c r="I124" s="46"/>
    </row>
    <row r="125" spans="2:9" ht="42.95" customHeight="1" x14ac:dyDescent="0.25">
      <c r="B125" s="44"/>
      <c r="C125" s="177"/>
      <c r="D125" s="178"/>
      <c r="E125" s="178"/>
      <c r="F125" s="179"/>
      <c r="G125" s="64"/>
      <c r="H125" s="67"/>
      <c r="I125" s="117"/>
    </row>
    <row r="126" spans="2:9" ht="18" customHeight="1" x14ac:dyDescent="0.25">
      <c r="B126" s="174" t="s">
        <v>15</v>
      </c>
      <c r="C126" s="175"/>
      <c r="D126" s="175"/>
      <c r="E126" s="175"/>
      <c r="F126" s="175"/>
      <c r="G126" s="175"/>
      <c r="H126" s="176"/>
      <c r="I126" s="39"/>
    </row>
    <row r="127" spans="2:9" ht="23.25" customHeight="1" x14ac:dyDescent="0.25">
      <c r="B127" s="40"/>
      <c r="C127" s="41"/>
      <c r="D127" s="41"/>
      <c r="E127" s="41"/>
      <c r="F127" s="42"/>
      <c r="G127" s="42"/>
      <c r="H127" s="63"/>
      <c r="I127" s="68">
        <v>496686.2</v>
      </c>
    </row>
    <row r="128" spans="2:9" ht="18" customHeight="1" x14ac:dyDescent="0.3">
      <c r="B128" s="19"/>
      <c r="C128" s="7"/>
      <c r="D128" s="7"/>
      <c r="E128" s="7"/>
      <c r="F128" s="5"/>
      <c r="G128" s="5"/>
      <c r="H128" s="20"/>
      <c r="I128" s="21"/>
    </row>
    <row r="129" spans="2:10" ht="18" customHeight="1" x14ac:dyDescent="0.25">
      <c r="B129" s="172" t="s">
        <v>16</v>
      </c>
      <c r="C129" s="173"/>
      <c r="D129" s="173"/>
      <c r="E129" s="173"/>
      <c r="F129" s="173"/>
      <c r="G129" s="173"/>
      <c r="H129" s="73"/>
      <c r="I129" s="21"/>
    </row>
    <row r="130" spans="2:10" ht="18" customHeight="1" x14ac:dyDescent="0.25">
      <c r="B130" s="59"/>
      <c r="C130" s="56"/>
      <c r="D130" s="6"/>
      <c r="E130" s="19"/>
      <c r="F130" s="19"/>
      <c r="G130" s="57"/>
      <c r="H130" s="60"/>
      <c r="I130" s="22"/>
    </row>
    <row r="131" spans="2:10" ht="26.25" customHeight="1" x14ac:dyDescent="0.25">
      <c r="B131" s="118" t="s">
        <v>226</v>
      </c>
      <c r="C131" s="11"/>
      <c r="D131" s="6"/>
      <c r="E131" s="19"/>
      <c r="F131" s="19"/>
      <c r="G131" s="57"/>
      <c r="H131" s="60"/>
      <c r="I131" s="22"/>
    </row>
    <row r="132" spans="2:10" ht="18" customHeight="1" x14ac:dyDescent="0.25">
      <c r="B132" s="118" t="s">
        <v>227</v>
      </c>
      <c r="C132" s="11"/>
      <c r="D132" s="65"/>
      <c r="E132" s="65"/>
      <c r="F132" s="65"/>
      <c r="G132" s="65"/>
      <c r="H132" s="66"/>
      <c r="I132" s="15"/>
    </row>
    <row r="133" spans="2:10" ht="18" customHeight="1" x14ac:dyDescent="0.25">
      <c r="B133" s="23"/>
      <c r="C133" s="11"/>
      <c r="D133" s="65"/>
      <c r="E133" s="65"/>
      <c r="F133" s="65"/>
      <c r="G133" s="65"/>
      <c r="H133" s="66"/>
      <c r="I133" s="15"/>
    </row>
    <row r="134" spans="2:10" ht="18" customHeight="1" x14ac:dyDescent="0.3">
      <c r="B134" s="24"/>
      <c r="C134" s="25"/>
      <c r="D134" s="26"/>
      <c r="E134" s="27"/>
      <c r="F134" s="27"/>
      <c r="G134" s="26"/>
      <c r="H134" s="61"/>
      <c r="I134" s="15"/>
    </row>
    <row r="135" spans="2:10" ht="18" customHeight="1" x14ac:dyDescent="0.3">
      <c r="B135" s="19"/>
      <c r="C135" s="28"/>
      <c r="D135" s="15"/>
      <c r="E135" s="5"/>
      <c r="F135" s="5"/>
      <c r="G135" s="15"/>
      <c r="H135" s="58"/>
      <c r="I135" s="15"/>
    </row>
    <row r="136" spans="2:10" ht="18" customHeight="1" x14ac:dyDescent="0.25">
      <c r="B136" s="9" t="s">
        <v>26</v>
      </c>
      <c r="C136" s="9"/>
      <c r="D136" s="9"/>
      <c r="E136" s="9"/>
      <c r="F136" s="9" t="s">
        <v>23</v>
      </c>
      <c r="G136" s="9"/>
      <c r="H136" s="18"/>
      <c r="I136" s="15"/>
    </row>
    <row r="137" spans="2:10" ht="18" customHeight="1" x14ac:dyDescent="0.25">
      <c r="B137" s="9"/>
      <c r="C137" s="9"/>
      <c r="D137" s="9"/>
      <c r="E137" s="9"/>
      <c r="F137" s="8"/>
      <c r="G137" s="8"/>
      <c r="H137" s="18"/>
      <c r="I137" s="15"/>
    </row>
    <row r="138" spans="2:10" ht="18" customHeight="1" x14ac:dyDescent="0.25">
      <c r="B138" s="9"/>
      <c r="C138" s="9"/>
      <c r="D138" s="9"/>
      <c r="E138" s="9"/>
      <c r="F138" s="8"/>
      <c r="G138" s="8"/>
      <c r="H138" s="18"/>
      <c r="I138" s="15"/>
    </row>
    <row r="139" spans="2:10" ht="18" customHeight="1" x14ac:dyDescent="0.25">
      <c r="B139" s="9"/>
      <c r="C139" s="9"/>
      <c r="D139" s="9"/>
      <c r="E139" s="9"/>
      <c r="F139" s="8"/>
      <c r="G139" s="8"/>
      <c r="H139" s="18"/>
      <c r="I139" s="15"/>
    </row>
    <row r="140" spans="2:10" ht="18" customHeight="1" x14ac:dyDescent="0.25">
      <c r="B140" s="9"/>
      <c r="C140" s="9"/>
      <c r="D140" s="9"/>
      <c r="E140" s="9"/>
      <c r="F140" s="8"/>
      <c r="G140" s="8"/>
      <c r="H140" s="18"/>
      <c r="I140" s="15"/>
      <c r="J140" s="29"/>
    </row>
    <row r="141" spans="2:10" ht="18" customHeight="1" x14ac:dyDescent="0.25">
      <c r="B141" s="9"/>
      <c r="C141" s="9"/>
      <c r="D141" s="9"/>
      <c r="E141" s="9"/>
      <c r="F141" s="8"/>
      <c r="G141" s="8"/>
      <c r="H141" s="18"/>
      <c r="I141" s="15"/>
      <c r="J141" s="29"/>
    </row>
    <row r="142" spans="2:10" ht="18" customHeight="1" x14ac:dyDescent="0.25">
      <c r="B142" s="171" t="s">
        <v>17</v>
      </c>
      <c r="C142" s="171"/>
      <c r="D142" s="18"/>
      <c r="E142" s="9"/>
      <c r="F142" s="171" t="s">
        <v>18</v>
      </c>
      <c r="G142" s="171"/>
      <c r="H142" s="171"/>
      <c r="I142" s="171"/>
      <c r="J142" s="29"/>
    </row>
    <row r="143" spans="2:10" ht="18" customHeight="1" x14ac:dyDescent="0.25">
      <c r="B143" s="150" t="s">
        <v>48</v>
      </c>
      <c r="C143" s="171"/>
      <c r="D143" s="11"/>
      <c r="E143" s="9"/>
      <c r="F143" s="11" t="s">
        <v>22</v>
      </c>
      <c r="G143" s="11"/>
      <c r="H143" s="18"/>
      <c r="I143" s="18"/>
      <c r="J143" s="29"/>
    </row>
    <row r="144" spans="2:10" ht="18" customHeight="1" x14ac:dyDescent="0.25">
      <c r="B144" s="11"/>
      <c r="C144" s="18"/>
      <c r="D144" s="11"/>
      <c r="E144" s="9"/>
      <c r="F144" s="11"/>
      <c r="G144" s="11"/>
      <c r="H144" s="18"/>
      <c r="I144" s="18"/>
      <c r="J144" s="29"/>
    </row>
    <row r="145" spans="1:10" ht="18" customHeight="1" x14ac:dyDescent="0.3">
      <c r="A145" s="5"/>
      <c r="B145" s="150"/>
      <c r="C145" s="150"/>
      <c r="D145" s="7"/>
      <c r="E145" s="7"/>
      <c r="F145" s="28"/>
      <c r="G145" s="28"/>
      <c r="H145" s="15"/>
      <c r="I145" s="15"/>
      <c r="J145" s="29"/>
    </row>
    <row r="146" spans="1:10" ht="18" customHeight="1" x14ac:dyDescent="0.3">
      <c r="A146" s="5"/>
      <c r="B146" s="7"/>
      <c r="C146" s="7"/>
      <c r="D146" s="15" t="s">
        <v>20</v>
      </c>
      <c r="E146" s="15"/>
      <c r="F146" s="15"/>
      <c r="G146" s="15"/>
      <c r="H146" s="15"/>
      <c r="I146" s="15"/>
      <c r="J146" s="30"/>
    </row>
    <row r="147" spans="1:10" ht="18" customHeight="1" x14ac:dyDescent="0.3">
      <c r="A147" s="5"/>
      <c r="B147" s="9" t="s">
        <v>21</v>
      </c>
      <c r="C147" s="9"/>
      <c r="D147" s="9"/>
      <c r="E147" s="15"/>
      <c r="F147" s="9" t="s">
        <v>24</v>
      </c>
      <c r="G147" s="9"/>
      <c r="H147" s="18"/>
      <c r="I147" s="15"/>
      <c r="J147" s="30"/>
    </row>
    <row r="148" spans="1:10" ht="18" customHeight="1" x14ac:dyDescent="0.3">
      <c r="A148" s="5"/>
      <c r="B148" s="9"/>
      <c r="C148" s="9"/>
      <c r="D148" s="9"/>
      <c r="E148" s="15"/>
      <c r="F148" s="9"/>
      <c r="G148" s="9"/>
      <c r="H148" s="18"/>
      <c r="I148" s="15"/>
      <c r="J148" s="30"/>
    </row>
    <row r="149" spans="1:10" ht="18" customHeight="1" x14ac:dyDescent="0.3">
      <c r="A149" s="5"/>
      <c r="B149" s="9"/>
      <c r="C149" s="9"/>
      <c r="D149" s="9"/>
      <c r="E149" s="15"/>
      <c r="F149" s="9"/>
      <c r="G149" s="9"/>
      <c r="H149" s="18"/>
      <c r="I149" s="15"/>
      <c r="J149" s="30"/>
    </row>
    <row r="150" spans="1:10" ht="18" customHeight="1" x14ac:dyDescent="0.3">
      <c r="A150" s="5"/>
      <c r="B150" s="9"/>
      <c r="C150" s="9"/>
      <c r="D150" s="9"/>
      <c r="E150" s="15"/>
      <c r="F150" s="9"/>
      <c r="G150" s="9"/>
      <c r="H150" s="18"/>
      <c r="I150" s="15"/>
      <c r="J150" s="30"/>
    </row>
    <row r="151" spans="1:10" ht="18" customHeight="1" x14ac:dyDescent="0.3">
      <c r="A151" s="5"/>
      <c r="B151" s="9"/>
      <c r="C151" s="9"/>
      <c r="D151" s="9"/>
      <c r="E151" s="31"/>
      <c r="F151" s="8"/>
      <c r="G151" s="8"/>
      <c r="H151" s="18"/>
      <c r="I151" s="15"/>
      <c r="J151" s="30"/>
    </row>
    <row r="152" spans="1:10" ht="18" customHeight="1" x14ac:dyDescent="0.3">
      <c r="A152" s="5"/>
      <c r="B152" s="9"/>
      <c r="C152" s="9"/>
      <c r="D152" s="9"/>
      <c r="E152" s="31"/>
      <c r="F152" s="8"/>
      <c r="G152" s="8"/>
      <c r="H152" s="18"/>
      <c r="I152" s="15"/>
      <c r="J152" s="30"/>
    </row>
    <row r="153" spans="1:10" ht="18" customHeight="1" x14ac:dyDescent="0.3">
      <c r="A153" s="5"/>
      <c r="B153" s="171" t="s">
        <v>17</v>
      </c>
      <c r="C153" s="171"/>
      <c r="D153" s="18"/>
      <c r="E153" s="32"/>
      <c r="F153" s="171" t="s">
        <v>18</v>
      </c>
      <c r="G153" s="171"/>
      <c r="H153" s="171"/>
      <c r="I153" s="171"/>
      <c r="J153" s="30"/>
    </row>
    <row r="154" spans="1:10" ht="18" customHeight="1" x14ac:dyDescent="0.3">
      <c r="A154" s="5"/>
      <c r="B154" s="150" t="s">
        <v>19</v>
      </c>
      <c r="C154" s="150"/>
      <c r="D154" s="11"/>
      <c r="E154" s="32"/>
      <c r="F154" s="11" t="s">
        <v>22</v>
      </c>
      <c r="G154" s="11"/>
      <c r="H154" s="18"/>
      <c r="I154" s="18"/>
      <c r="J154" s="30"/>
    </row>
    <row r="155" spans="1:10" ht="18" customHeight="1" x14ac:dyDescent="0.3">
      <c r="A155" s="5"/>
      <c r="B155" s="11"/>
      <c r="C155" s="11"/>
      <c r="D155" s="11"/>
      <c r="E155" s="32"/>
      <c r="F155" s="11"/>
      <c r="G155" s="11"/>
      <c r="H155" s="18"/>
      <c r="I155" s="18"/>
      <c r="J155" s="30"/>
    </row>
    <row r="156" spans="1:10" ht="18" customHeight="1" x14ac:dyDescent="0.25">
      <c r="B156" s="7"/>
    </row>
  </sheetData>
  <mergeCells count="85">
    <mergeCell ref="F8:I8"/>
    <mergeCell ref="C2:E2"/>
    <mergeCell ref="F2:I2"/>
    <mergeCell ref="G4:I4"/>
    <mergeCell ref="G5:I5"/>
    <mergeCell ref="G6:I6"/>
    <mergeCell ref="C23:F23"/>
    <mergeCell ref="B9:C9"/>
    <mergeCell ref="B10:C10"/>
    <mergeCell ref="B11:C11"/>
    <mergeCell ref="B12:C12"/>
    <mergeCell ref="B13:C13"/>
    <mergeCell ref="B14:C14"/>
    <mergeCell ref="B15:C15"/>
    <mergeCell ref="B21:I21"/>
    <mergeCell ref="J21:K21"/>
    <mergeCell ref="C22:F22"/>
    <mergeCell ref="J22:K22"/>
    <mergeCell ref="C125:F125"/>
    <mergeCell ref="B126:H126"/>
    <mergeCell ref="C24:F24"/>
    <mergeCell ref="C66:F66"/>
    <mergeCell ref="C77:F77"/>
    <mergeCell ref="C78:F78"/>
    <mergeCell ref="C79:F79"/>
    <mergeCell ref="C80:F80"/>
    <mergeCell ref="C95:F95"/>
    <mergeCell ref="C82:F82"/>
    <mergeCell ref="C83:F83"/>
    <mergeCell ref="C84:F84"/>
    <mergeCell ref="C85:F85"/>
    <mergeCell ref="B129:G129"/>
    <mergeCell ref="B142:C142"/>
    <mergeCell ref="F142:I142"/>
    <mergeCell ref="C28:F28"/>
    <mergeCell ref="C42:F42"/>
    <mergeCell ref="C53:F53"/>
    <mergeCell ref="C55:F55"/>
    <mergeCell ref="C81:F81"/>
    <mergeCell ref="C54:F54"/>
    <mergeCell ref="C60:F60"/>
    <mergeCell ref="C61:F61"/>
    <mergeCell ref="C62:F62"/>
    <mergeCell ref="C64:F65"/>
    <mergeCell ref="C56:F56"/>
    <mergeCell ref="C57:F57"/>
    <mergeCell ref="C58:F58"/>
    <mergeCell ref="B143:C143"/>
    <mergeCell ref="B145:C145"/>
    <mergeCell ref="B153:C153"/>
    <mergeCell ref="F153:I153"/>
    <mergeCell ref="B154:C154"/>
    <mergeCell ref="C87:F87"/>
    <mergeCell ref="C88:F88"/>
    <mergeCell ref="C89:F89"/>
    <mergeCell ref="C91:F91"/>
    <mergeCell ref="C92:F92"/>
    <mergeCell ref="C93:F93"/>
    <mergeCell ref="C94:F94"/>
    <mergeCell ref="C108:F108"/>
    <mergeCell ref="C109:F109"/>
    <mergeCell ref="C96:F96"/>
    <mergeCell ref="C97:F97"/>
    <mergeCell ref="C98:F98"/>
    <mergeCell ref="C99:F99"/>
    <mergeCell ref="C100:F100"/>
    <mergeCell ref="C101:F101"/>
    <mergeCell ref="C105:F105"/>
    <mergeCell ref="C102:F102"/>
    <mergeCell ref="C103:F103"/>
    <mergeCell ref="C106:F106"/>
    <mergeCell ref="C107:F107"/>
    <mergeCell ref="C110:F110"/>
    <mergeCell ref="C111:F111"/>
    <mergeCell ref="C112:F112"/>
    <mergeCell ref="C113:F113"/>
    <mergeCell ref="C114:F114"/>
    <mergeCell ref="C122:F122"/>
    <mergeCell ref="C123:F123"/>
    <mergeCell ref="C115:F115"/>
    <mergeCell ref="C116:F116"/>
    <mergeCell ref="C117:F117"/>
    <mergeCell ref="C119:F119"/>
    <mergeCell ref="C120:F120"/>
    <mergeCell ref="C121:F121"/>
  </mergeCells>
  <phoneticPr fontId="30" type="noConversion"/>
  <hyperlinks>
    <hyperlink ref="G16" r:id="rId1" xr:uid="{7CBBA800-BC42-45C1-9CB8-0893C8B6BC5A}"/>
  </hyperlinks>
  <printOptions horizontalCentered="1"/>
  <pageMargins left="0" right="0" top="0.5" bottom="0" header="0.31496062992126" footer="0.31496062992126"/>
  <pageSetup paperSize="9" scale="48" fitToHeight="0" orientation="portrait" r:id="rId2"/>
  <rowBreaks count="1" manualBreakCount="1">
    <brk id="76" max="9" man="1"/>
  </rowBreaks>
  <drawing r:id="rId3"/>
  <picture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3C04-E2FB-4951-BE08-DF2DDFDA4CEF}">
  <dimension ref="A2:K68"/>
  <sheetViews>
    <sheetView tabSelected="1" view="pageBreakPreview" zoomScaleNormal="100" zoomScaleSheetLayoutView="100" workbookViewId="0">
      <selection activeCell="G5" sqref="G5:I5"/>
    </sheetView>
  </sheetViews>
  <sheetFormatPr defaultColWidth="9.140625" defaultRowHeight="18" customHeight="1" x14ac:dyDescent="0.25"/>
  <cols>
    <col min="1" max="1" width="2.85546875" customWidth="1"/>
    <col min="2" max="2" width="8.140625" customWidth="1"/>
    <col min="3" max="3" width="59.5703125" customWidth="1"/>
    <col min="4" max="4" width="10.140625" customWidth="1"/>
    <col min="5" max="5" width="10.28515625" customWidth="1"/>
    <col min="6" max="6" width="14" style="33" customWidth="1"/>
    <col min="7" max="7" width="15.42578125" style="33" customWidth="1"/>
    <col min="8" max="8" width="19.7109375" customWidth="1"/>
    <col min="9" max="9" width="22.42578125" customWidth="1"/>
    <col min="10" max="10" width="3.42578125" customWidth="1"/>
  </cols>
  <sheetData>
    <row r="2" spans="1:10" ht="76.5" customHeight="1" x14ac:dyDescent="0.25">
      <c r="C2" s="160" t="s">
        <v>31</v>
      </c>
      <c r="D2" s="160"/>
      <c r="E2" s="160"/>
      <c r="F2" s="161" t="s">
        <v>0</v>
      </c>
      <c r="G2" s="161"/>
      <c r="H2" s="161"/>
      <c r="I2" s="161"/>
    </row>
    <row r="3" spans="1:10" ht="18" customHeight="1" x14ac:dyDescent="0.3">
      <c r="A3" s="1"/>
      <c r="B3" s="75" t="s">
        <v>33</v>
      </c>
      <c r="C3" s="3"/>
      <c r="D3" s="3"/>
      <c r="E3" s="3"/>
      <c r="F3" s="4"/>
      <c r="G3" s="4"/>
      <c r="H3" s="5"/>
      <c r="I3" s="5"/>
    </row>
    <row r="4" spans="1:10" ht="18" customHeight="1" x14ac:dyDescent="0.25">
      <c r="A4" s="1"/>
      <c r="B4" s="75" t="s">
        <v>34</v>
      </c>
      <c r="C4" s="3"/>
      <c r="D4" s="3"/>
      <c r="E4" s="3"/>
      <c r="F4" s="6" t="s">
        <v>1</v>
      </c>
      <c r="G4" s="162">
        <v>46225</v>
      </c>
      <c r="H4" s="162"/>
      <c r="I4" s="162"/>
    </row>
    <row r="5" spans="1:10" ht="18" customHeight="1" x14ac:dyDescent="0.25">
      <c r="A5" s="1"/>
      <c r="B5" s="75" t="s">
        <v>35</v>
      </c>
      <c r="C5" s="3"/>
      <c r="D5" s="3"/>
      <c r="E5" s="3"/>
      <c r="F5" s="6" t="s">
        <v>2</v>
      </c>
      <c r="G5" s="163" t="s">
        <v>232</v>
      </c>
      <c r="H5" s="163"/>
      <c r="I5" s="163"/>
    </row>
    <row r="6" spans="1:10" ht="18" customHeight="1" x14ac:dyDescent="0.25">
      <c r="A6" s="1"/>
      <c r="B6" s="75" t="s">
        <v>36</v>
      </c>
      <c r="C6" s="3"/>
      <c r="D6" s="3"/>
      <c r="E6" s="3"/>
      <c r="F6" s="6" t="s">
        <v>3</v>
      </c>
      <c r="G6" s="163" t="s">
        <v>4</v>
      </c>
      <c r="H6" s="163"/>
      <c r="I6" s="163"/>
    </row>
    <row r="7" spans="1:10" ht="9" customHeight="1" x14ac:dyDescent="0.25">
      <c r="B7" s="7"/>
      <c r="C7" s="7"/>
      <c r="D7" s="7"/>
      <c r="E7" s="71"/>
      <c r="F7" s="8"/>
      <c r="G7" s="8"/>
      <c r="H7" s="7"/>
      <c r="I7" s="7"/>
    </row>
    <row r="8" spans="1:10" ht="18" customHeight="1" x14ac:dyDescent="0.25">
      <c r="B8" s="69" t="s">
        <v>5</v>
      </c>
      <c r="C8" s="69"/>
      <c r="D8" s="36"/>
      <c r="E8" s="72"/>
      <c r="F8" s="164" t="s">
        <v>6</v>
      </c>
      <c r="G8" s="164"/>
      <c r="H8" s="165"/>
      <c r="I8" s="165"/>
    </row>
    <row r="9" spans="1:10" ht="18" customHeight="1" x14ac:dyDescent="0.25">
      <c r="B9" s="166" t="s">
        <v>80</v>
      </c>
      <c r="C9" s="166"/>
      <c r="D9" s="35"/>
      <c r="E9" s="9"/>
      <c r="F9" s="10" t="s">
        <v>32</v>
      </c>
      <c r="G9" s="10"/>
      <c r="H9" s="7"/>
      <c r="I9" s="7"/>
    </row>
    <row r="10" spans="1:10" ht="18" customHeight="1" x14ac:dyDescent="0.25">
      <c r="B10" s="149" t="s">
        <v>81</v>
      </c>
      <c r="C10" s="149"/>
      <c r="D10" s="34"/>
      <c r="E10" s="9"/>
      <c r="F10" s="2" t="s">
        <v>37</v>
      </c>
      <c r="G10" s="2"/>
      <c r="H10" s="7"/>
      <c r="I10" s="7"/>
    </row>
    <row r="11" spans="1:10" ht="18" customHeight="1" x14ac:dyDescent="0.25">
      <c r="B11" s="149" t="s">
        <v>82</v>
      </c>
      <c r="C11" s="149"/>
      <c r="D11" s="34"/>
      <c r="E11" s="9"/>
      <c r="F11" s="2" t="s">
        <v>38</v>
      </c>
      <c r="G11" s="7"/>
      <c r="H11" s="11"/>
      <c r="I11" s="11"/>
    </row>
    <row r="12" spans="1:10" ht="18" customHeight="1" x14ac:dyDescent="0.25">
      <c r="B12" s="149" t="s">
        <v>83</v>
      </c>
      <c r="C12" s="149"/>
      <c r="D12" s="34"/>
      <c r="E12" s="9"/>
      <c r="F12" s="2" t="s">
        <v>39</v>
      </c>
      <c r="G12" s="2"/>
      <c r="H12" s="11"/>
      <c r="I12" s="11"/>
    </row>
    <row r="13" spans="1:10" ht="18" customHeight="1" x14ac:dyDescent="0.25">
      <c r="B13" s="149"/>
      <c r="C13" s="149"/>
      <c r="D13" s="34"/>
      <c r="E13" s="9"/>
      <c r="F13" s="2" t="s">
        <v>42</v>
      </c>
      <c r="G13" s="2"/>
      <c r="H13" s="11"/>
      <c r="I13" s="11"/>
    </row>
    <row r="14" spans="1:10" ht="18" customHeight="1" x14ac:dyDescent="0.25">
      <c r="B14" s="149"/>
      <c r="C14" s="149"/>
      <c r="D14" s="34"/>
      <c r="E14" s="9" t="s">
        <v>20</v>
      </c>
      <c r="F14" s="2" t="s">
        <v>43</v>
      </c>
      <c r="G14" s="2"/>
      <c r="H14" s="11"/>
      <c r="I14" s="11"/>
    </row>
    <row r="15" spans="1:10" ht="18" customHeight="1" x14ac:dyDescent="0.25">
      <c r="B15" s="150"/>
      <c r="C15" s="150"/>
      <c r="D15" s="11"/>
      <c r="E15" s="9"/>
      <c r="F15" s="2"/>
      <c r="G15" s="2"/>
      <c r="H15" s="11"/>
      <c r="I15" s="11"/>
    </row>
    <row r="16" spans="1:10" s="12" customFormat="1" ht="17.25" customHeight="1" x14ac:dyDescent="0.25">
      <c r="B16" s="13" t="s">
        <v>7</v>
      </c>
      <c r="C16" s="43"/>
      <c r="D16" s="14"/>
      <c r="E16" s="15"/>
      <c r="F16" s="16" t="s">
        <v>8</v>
      </c>
      <c r="G16" s="43" t="s">
        <v>40</v>
      </c>
      <c r="H16" s="43"/>
      <c r="I16" s="15"/>
      <c r="J16" s="17"/>
    </row>
    <row r="17" spans="2:11" s="12" customFormat="1" ht="17.25" customHeight="1" x14ac:dyDescent="0.25">
      <c r="B17" s="2" t="s">
        <v>28</v>
      </c>
      <c r="C17" s="15" t="s">
        <v>85</v>
      </c>
      <c r="D17" s="15"/>
      <c r="E17" s="15"/>
      <c r="F17" s="11" t="s">
        <v>9</v>
      </c>
      <c r="G17" s="15" t="s">
        <v>41</v>
      </c>
      <c r="H17" s="15"/>
      <c r="I17" s="15"/>
      <c r="J17" s="17"/>
    </row>
    <row r="18" spans="2:11" s="12" customFormat="1" ht="17.25" customHeight="1" x14ac:dyDescent="0.25">
      <c r="B18" s="15"/>
      <c r="C18" s="15"/>
      <c r="D18" s="15"/>
      <c r="E18" s="15"/>
      <c r="F18" s="15"/>
      <c r="G18" s="15"/>
      <c r="H18" s="15"/>
      <c r="I18" s="15"/>
      <c r="J18" s="17"/>
    </row>
    <row r="19" spans="2:11" s="12" customFormat="1" ht="17.25" customHeight="1" x14ac:dyDescent="0.25">
      <c r="B19" s="18" t="s">
        <v>30</v>
      </c>
      <c r="C19" s="2" t="s">
        <v>84</v>
      </c>
      <c r="D19" s="2"/>
      <c r="E19" s="15"/>
      <c r="F19" s="18" t="s">
        <v>10</v>
      </c>
      <c r="G19" s="15" t="s">
        <v>49</v>
      </c>
      <c r="H19" s="15"/>
      <c r="I19" s="15"/>
      <c r="J19" s="17"/>
    </row>
    <row r="20" spans="2:11" s="12" customFormat="1" ht="17.25" customHeight="1" x14ac:dyDescent="0.25">
      <c r="B20" s="18"/>
      <c r="C20" s="2"/>
      <c r="D20" s="2"/>
      <c r="E20" s="15"/>
      <c r="F20" s="18"/>
      <c r="G20" s="18"/>
      <c r="H20" s="15"/>
      <c r="I20" s="15"/>
      <c r="J20" s="17"/>
    </row>
    <row r="21" spans="2:11" ht="18.75" customHeight="1" x14ac:dyDescent="0.35">
      <c r="B21" s="151" t="s">
        <v>228</v>
      </c>
      <c r="C21" s="152"/>
      <c r="D21" s="152"/>
      <c r="E21" s="152"/>
      <c r="F21" s="152"/>
      <c r="G21" s="152"/>
      <c r="H21" s="152"/>
      <c r="I21" s="153"/>
      <c r="J21" s="167"/>
      <c r="K21" s="167"/>
    </row>
    <row r="22" spans="2:11" ht="34.15" customHeight="1" x14ac:dyDescent="0.35">
      <c r="B22" s="70" t="s">
        <v>11</v>
      </c>
      <c r="C22" s="168" t="s">
        <v>25</v>
      </c>
      <c r="D22" s="169"/>
      <c r="E22" s="169"/>
      <c r="F22" s="170"/>
      <c r="G22" s="74" t="s">
        <v>12</v>
      </c>
      <c r="H22" s="74" t="s">
        <v>13</v>
      </c>
      <c r="I22" s="70" t="s">
        <v>14</v>
      </c>
      <c r="J22" s="167"/>
      <c r="K22" s="167"/>
    </row>
    <row r="23" spans="2:11" s="7" customFormat="1" ht="18" customHeight="1" x14ac:dyDescent="0.25">
      <c r="B23" s="44"/>
      <c r="C23" s="154"/>
      <c r="D23" s="155"/>
      <c r="E23" s="155"/>
      <c r="F23" s="156"/>
      <c r="G23" s="50"/>
      <c r="H23" s="45"/>
      <c r="I23" s="46"/>
    </row>
    <row r="24" spans="2:11" ht="27" customHeight="1" x14ac:dyDescent="0.25">
      <c r="B24" s="37"/>
      <c r="C24" s="157" t="s">
        <v>27</v>
      </c>
      <c r="D24" s="158"/>
      <c r="E24" s="158"/>
      <c r="F24" s="159"/>
      <c r="G24" s="49"/>
      <c r="H24" s="38"/>
      <c r="I24" s="46"/>
    </row>
    <row r="25" spans="2:11" ht="16.899999999999999" customHeight="1" x14ac:dyDescent="0.25">
      <c r="B25" s="37"/>
      <c r="C25" s="47"/>
      <c r="D25" s="48"/>
      <c r="E25" s="48"/>
      <c r="F25" s="49"/>
      <c r="G25" s="54"/>
      <c r="H25" s="38"/>
      <c r="I25" s="46"/>
    </row>
    <row r="26" spans="2:11" ht="20.25" customHeight="1" x14ac:dyDescent="0.25">
      <c r="B26" s="100"/>
      <c r="C26" s="145" t="s">
        <v>229</v>
      </c>
      <c r="D26" s="146"/>
      <c r="E26" s="146"/>
      <c r="F26" s="83"/>
      <c r="G26" s="55"/>
      <c r="H26" s="67"/>
      <c r="I26" s="46"/>
    </row>
    <row r="27" spans="2:11" ht="20.25" customHeight="1" x14ac:dyDescent="0.25">
      <c r="B27" s="100"/>
      <c r="C27" s="84"/>
      <c r="D27" s="102"/>
      <c r="E27" s="102"/>
      <c r="F27" s="83"/>
      <c r="G27" s="64"/>
      <c r="H27" s="67"/>
      <c r="I27" s="46"/>
    </row>
    <row r="28" spans="2:11" ht="39" customHeight="1" x14ac:dyDescent="0.25">
      <c r="B28" s="100" t="s">
        <v>119</v>
      </c>
      <c r="C28" s="202" t="s">
        <v>230</v>
      </c>
      <c r="D28" s="203"/>
      <c r="E28" s="203"/>
      <c r="F28" s="204"/>
      <c r="G28" s="64"/>
      <c r="H28" s="67"/>
      <c r="I28" s="46"/>
    </row>
    <row r="29" spans="2:11" x14ac:dyDescent="0.25">
      <c r="B29" s="100" t="s">
        <v>121</v>
      </c>
      <c r="C29" s="147" t="s">
        <v>97</v>
      </c>
      <c r="D29" s="81"/>
      <c r="E29" s="81"/>
      <c r="F29" s="82"/>
      <c r="G29" s="105" t="s">
        <v>104</v>
      </c>
      <c r="H29" s="67">
        <v>30000</v>
      </c>
      <c r="I29" s="46"/>
    </row>
    <row r="30" spans="2:11" ht="20.25" customHeight="1" x14ac:dyDescent="0.25">
      <c r="B30" s="44"/>
      <c r="C30" s="51"/>
      <c r="D30" s="53"/>
      <c r="E30" s="53"/>
      <c r="F30" s="53"/>
      <c r="G30" s="105"/>
      <c r="H30" s="124"/>
      <c r="I30" s="125"/>
    </row>
    <row r="31" spans="2:11" ht="33" customHeight="1" x14ac:dyDescent="0.25">
      <c r="B31" s="100" t="s">
        <v>157</v>
      </c>
      <c r="C31" s="202" t="s">
        <v>231</v>
      </c>
      <c r="D31" s="219"/>
      <c r="E31" s="219"/>
      <c r="F31" s="220"/>
      <c r="G31" s="105" t="s">
        <v>102</v>
      </c>
      <c r="H31" s="124">
        <v>1000</v>
      </c>
      <c r="I31" s="125">
        <v>1000</v>
      </c>
    </row>
    <row r="32" spans="2:11" ht="20.25" customHeight="1" x14ac:dyDescent="0.25">
      <c r="B32" s="44" t="s">
        <v>122</v>
      </c>
      <c r="C32" s="51" t="s">
        <v>116</v>
      </c>
      <c r="D32" s="53"/>
      <c r="E32" s="53"/>
      <c r="F32" s="53"/>
      <c r="G32" s="105" t="s">
        <v>103</v>
      </c>
      <c r="H32" s="124">
        <v>30</v>
      </c>
      <c r="I32" s="125">
        <v>60</v>
      </c>
    </row>
    <row r="33" spans="2:9" ht="20.25" customHeight="1" x14ac:dyDescent="0.25">
      <c r="B33" s="44" t="s">
        <v>123</v>
      </c>
      <c r="C33" s="51" t="s">
        <v>145</v>
      </c>
      <c r="D33" s="53"/>
      <c r="E33" s="53"/>
      <c r="F33" s="53"/>
      <c r="G33" s="105" t="s">
        <v>104</v>
      </c>
      <c r="H33" s="108">
        <v>17000</v>
      </c>
      <c r="I33" s="123">
        <v>17000</v>
      </c>
    </row>
    <row r="34" spans="2:9" ht="20.25" customHeight="1" x14ac:dyDescent="0.25">
      <c r="B34" s="44" t="s">
        <v>124</v>
      </c>
      <c r="C34" s="51" t="s">
        <v>146</v>
      </c>
      <c r="D34" s="53"/>
      <c r="E34" s="53"/>
      <c r="F34" s="53"/>
      <c r="G34" s="105" t="s">
        <v>104</v>
      </c>
      <c r="H34" s="108">
        <v>28000</v>
      </c>
      <c r="I34" s="123">
        <v>28000</v>
      </c>
    </row>
    <row r="35" spans="2:9" ht="20.25" customHeight="1" x14ac:dyDescent="0.25">
      <c r="B35" s="139"/>
      <c r="C35" s="190"/>
      <c r="D35" s="190"/>
      <c r="E35" s="190"/>
      <c r="F35" s="190"/>
      <c r="G35" s="104"/>
      <c r="H35" s="108"/>
      <c r="I35" s="140"/>
    </row>
    <row r="36" spans="2:9" ht="20.25" customHeight="1" x14ac:dyDescent="0.25">
      <c r="B36" s="90"/>
      <c r="C36" s="181" t="s">
        <v>217</v>
      </c>
      <c r="D36" s="182"/>
      <c r="E36" s="182"/>
      <c r="F36" s="183"/>
      <c r="G36" s="55"/>
      <c r="H36" s="67"/>
      <c r="I36" s="148">
        <v>34000</v>
      </c>
    </row>
    <row r="37" spans="2:9" ht="20.25" customHeight="1" x14ac:dyDescent="0.25">
      <c r="B37" s="90"/>
      <c r="C37" s="181" t="s">
        <v>218</v>
      </c>
      <c r="D37" s="182"/>
      <c r="E37" s="182"/>
      <c r="F37" s="183"/>
      <c r="G37" s="55"/>
      <c r="H37" s="67"/>
      <c r="I37" s="148">
        <v>320</v>
      </c>
    </row>
    <row r="38" spans="2:9" ht="18" customHeight="1" x14ac:dyDescent="0.25">
      <c r="B38" s="174" t="s">
        <v>15</v>
      </c>
      <c r="C38" s="175"/>
      <c r="D38" s="175"/>
      <c r="E38" s="175"/>
      <c r="F38" s="175"/>
      <c r="G38" s="175"/>
      <c r="H38" s="176"/>
      <c r="I38" s="39"/>
    </row>
    <row r="39" spans="2:9" ht="23.25" customHeight="1" x14ac:dyDescent="0.25">
      <c r="B39" s="40"/>
      <c r="C39" s="41"/>
      <c r="D39" s="41"/>
      <c r="E39" s="41"/>
      <c r="F39" s="42"/>
      <c r="G39" s="42"/>
      <c r="H39" s="63"/>
      <c r="I39" s="68">
        <v>34320</v>
      </c>
    </row>
    <row r="40" spans="2:9" ht="18" customHeight="1" x14ac:dyDescent="0.3">
      <c r="B40" s="19"/>
      <c r="C40" s="7"/>
      <c r="D40" s="7"/>
      <c r="E40" s="7"/>
      <c r="F40" s="5"/>
      <c r="G40" s="5"/>
      <c r="H40" s="20"/>
      <c r="I40" s="21"/>
    </row>
    <row r="41" spans="2:9" ht="18" customHeight="1" x14ac:dyDescent="0.25">
      <c r="B41" s="172" t="s">
        <v>16</v>
      </c>
      <c r="C41" s="173"/>
      <c r="D41" s="173"/>
      <c r="E41" s="173"/>
      <c r="F41" s="173"/>
      <c r="G41" s="173"/>
      <c r="H41" s="73"/>
      <c r="I41" s="21"/>
    </row>
    <row r="42" spans="2:9" ht="18" customHeight="1" x14ac:dyDescent="0.25">
      <c r="B42" s="59"/>
      <c r="C42" s="56"/>
      <c r="D42" s="6"/>
      <c r="E42" s="19"/>
      <c r="F42" s="19"/>
      <c r="G42" s="57"/>
      <c r="H42" s="60"/>
      <c r="I42" s="22"/>
    </row>
    <row r="43" spans="2:9" ht="26.25" customHeight="1" x14ac:dyDescent="0.25">
      <c r="B43" s="118" t="s">
        <v>226</v>
      </c>
      <c r="C43" s="11"/>
      <c r="D43" s="6"/>
      <c r="E43" s="19"/>
      <c r="F43" s="19"/>
      <c r="G43" s="57"/>
      <c r="H43" s="60"/>
      <c r="I43" s="22"/>
    </row>
    <row r="44" spans="2:9" ht="18" customHeight="1" x14ac:dyDescent="0.25">
      <c r="B44" s="118" t="s">
        <v>227</v>
      </c>
      <c r="C44" s="11"/>
      <c r="D44" s="65"/>
      <c r="E44" s="65"/>
      <c r="F44" s="65"/>
      <c r="G44" s="65"/>
      <c r="H44" s="66"/>
      <c r="I44" s="15"/>
    </row>
    <row r="45" spans="2:9" ht="18" customHeight="1" x14ac:dyDescent="0.25">
      <c r="B45" s="23"/>
      <c r="C45" s="11"/>
      <c r="D45" s="65"/>
      <c r="E45" s="65"/>
      <c r="F45" s="65"/>
      <c r="G45" s="65"/>
      <c r="H45" s="66"/>
      <c r="I45" s="15"/>
    </row>
    <row r="46" spans="2:9" ht="18" customHeight="1" x14ac:dyDescent="0.3">
      <c r="B46" s="24"/>
      <c r="C46" s="25"/>
      <c r="D46" s="26"/>
      <c r="E46" s="27"/>
      <c r="F46" s="27"/>
      <c r="G46" s="26"/>
      <c r="H46" s="61"/>
      <c r="I46" s="15"/>
    </row>
    <row r="47" spans="2:9" ht="18" customHeight="1" x14ac:dyDescent="0.3">
      <c r="B47" s="19"/>
      <c r="C47" s="28"/>
      <c r="D47" s="15"/>
      <c r="E47" s="5"/>
      <c r="F47" s="5"/>
      <c r="G47" s="15"/>
      <c r="H47" s="58"/>
      <c r="I47" s="15"/>
    </row>
    <row r="48" spans="2:9" ht="18" customHeight="1" x14ac:dyDescent="0.25">
      <c r="B48" s="9" t="s">
        <v>26</v>
      </c>
      <c r="C48" s="9"/>
      <c r="D48" s="9"/>
      <c r="E48" s="9"/>
      <c r="F48" s="9" t="s">
        <v>23</v>
      </c>
      <c r="G48" s="9"/>
      <c r="H48" s="18"/>
      <c r="I48" s="15"/>
    </row>
    <row r="49" spans="1:10" ht="18" customHeight="1" x14ac:dyDescent="0.25">
      <c r="B49" s="9"/>
      <c r="C49" s="9"/>
      <c r="D49" s="9"/>
      <c r="E49" s="9"/>
      <c r="F49" s="8"/>
      <c r="G49" s="8"/>
      <c r="H49" s="18"/>
      <c r="I49" s="15"/>
    </row>
    <row r="50" spans="1:10" ht="18" customHeight="1" x14ac:dyDescent="0.25">
      <c r="B50" s="9"/>
      <c r="C50" s="9"/>
      <c r="D50" s="9"/>
      <c r="E50" s="9"/>
      <c r="F50" s="8"/>
      <c r="G50" s="8"/>
      <c r="H50" s="18"/>
      <c r="I50" s="15"/>
    </row>
    <row r="51" spans="1:10" ht="18" customHeight="1" x14ac:dyDescent="0.25">
      <c r="B51" s="9"/>
      <c r="C51" s="9"/>
      <c r="D51" s="9"/>
      <c r="E51" s="9"/>
      <c r="F51" s="8"/>
      <c r="G51" s="8"/>
      <c r="H51" s="18"/>
      <c r="I51" s="15"/>
    </row>
    <row r="52" spans="1:10" ht="18" customHeight="1" x14ac:dyDescent="0.25">
      <c r="B52" s="9"/>
      <c r="C52" s="9"/>
      <c r="D52" s="9"/>
      <c r="E52" s="9"/>
      <c r="F52" s="8"/>
      <c r="G52" s="8"/>
      <c r="H52" s="18"/>
      <c r="I52" s="15"/>
      <c r="J52" s="29"/>
    </row>
    <row r="53" spans="1:10" ht="18" customHeight="1" x14ac:dyDescent="0.25">
      <c r="B53" s="9"/>
      <c r="C53" s="9"/>
      <c r="D53" s="9"/>
      <c r="E53" s="9"/>
      <c r="F53" s="8"/>
      <c r="G53" s="8"/>
      <c r="H53" s="18"/>
      <c r="I53" s="15"/>
      <c r="J53" s="29"/>
    </row>
    <row r="54" spans="1:10" ht="18" customHeight="1" x14ac:dyDescent="0.25">
      <c r="B54" s="171" t="s">
        <v>17</v>
      </c>
      <c r="C54" s="171"/>
      <c r="D54" s="18"/>
      <c r="E54" s="9"/>
      <c r="F54" s="171" t="s">
        <v>18</v>
      </c>
      <c r="G54" s="171"/>
      <c r="H54" s="171"/>
      <c r="I54" s="171"/>
      <c r="J54" s="29"/>
    </row>
    <row r="55" spans="1:10" ht="18" customHeight="1" x14ac:dyDescent="0.25">
      <c r="B55" s="150" t="s">
        <v>48</v>
      </c>
      <c r="C55" s="171"/>
      <c r="D55" s="11"/>
      <c r="E55" s="9"/>
      <c r="F55" s="11" t="s">
        <v>22</v>
      </c>
      <c r="G55" s="11"/>
      <c r="H55" s="18"/>
      <c r="I55" s="18"/>
      <c r="J55" s="29"/>
    </row>
    <row r="56" spans="1:10" ht="18" customHeight="1" x14ac:dyDescent="0.25">
      <c r="B56" s="11"/>
      <c r="C56" s="18"/>
      <c r="D56" s="11"/>
      <c r="E56" s="9"/>
      <c r="F56" s="11"/>
      <c r="G56" s="11"/>
      <c r="H56" s="18"/>
      <c r="I56" s="18"/>
      <c r="J56" s="29"/>
    </row>
    <row r="57" spans="1:10" ht="18" customHeight="1" x14ac:dyDescent="0.3">
      <c r="A57" s="5"/>
      <c r="B57" s="150"/>
      <c r="C57" s="150"/>
      <c r="D57" s="7"/>
      <c r="E57" s="7"/>
      <c r="F57" s="28"/>
      <c r="G57" s="28"/>
      <c r="H57" s="15"/>
      <c r="I57" s="15"/>
      <c r="J57" s="29"/>
    </row>
    <row r="58" spans="1:10" ht="18" customHeight="1" x14ac:dyDescent="0.3">
      <c r="A58" s="5"/>
      <c r="B58" s="7"/>
      <c r="C58" s="7"/>
      <c r="D58" s="15" t="s">
        <v>20</v>
      </c>
      <c r="E58" s="15"/>
      <c r="F58" s="15"/>
      <c r="G58" s="15"/>
      <c r="H58" s="15"/>
      <c r="I58" s="15"/>
      <c r="J58" s="30"/>
    </row>
    <row r="59" spans="1:10" ht="18" customHeight="1" x14ac:dyDescent="0.3">
      <c r="A59" s="5"/>
      <c r="B59" s="9" t="s">
        <v>21</v>
      </c>
      <c r="C59" s="9"/>
      <c r="D59" s="9"/>
      <c r="E59" s="15"/>
      <c r="F59" s="9" t="s">
        <v>24</v>
      </c>
      <c r="G59" s="9"/>
      <c r="H59" s="18"/>
      <c r="I59" s="15"/>
      <c r="J59" s="30"/>
    </row>
    <row r="60" spans="1:10" ht="18" customHeight="1" x14ac:dyDescent="0.3">
      <c r="A60" s="5"/>
      <c r="B60" s="9"/>
      <c r="C60" s="9"/>
      <c r="D60" s="9"/>
      <c r="E60" s="15"/>
      <c r="F60" s="9"/>
      <c r="G60" s="9"/>
      <c r="H60" s="18"/>
      <c r="I60" s="15"/>
      <c r="J60" s="30"/>
    </row>
    <row r="61" spans="1:10" ht="18" customHeight="1" x14ac:dyDescent="0.3">
      <c r="A61" s="5"/>
      <c r="B61" s="9"/>
      <c r="C61" s="9"/>
      <c r="D61" s="9"/>
      <c r="E61" s="15"/>
      <c r="F61" s="9"/>
      <c r="G61" s="9"/>
      <c r="H61" s="18"/>
      <c r="I61" s="15"/>
      <c r="J61" s="30"/>
    </row>
    <row r="62" spans="1:10" ht="18" customHeight="1" x14ac:dyDescent="0.3">
      <c r="A62" s="5"/>
      <c r="B62" s="9"/>
      <c r="C62" s="9"/>
      <c r="D62" s="9"/>
      <c r="E62" s="15"/>
      <c r="F62" s="9"/>
      <c r="G62" s="9"/>
      <c r="H62" s="18"/>
      <c r="I62" s="15"/>
      <c r="J62" s="30"/>
    </row>
    <row r="63" spans="1:10" ht="18" customHeight="1" x14ac:dyDescent="0.3">
      <c r="A63" s="5"/>
      <c r="B63" s="9"/>
      <c r="C63" s="9"/>
      <c r="D63" s="9"/>
      <c r="E63" s="31"/>
      <c r="F63" s="8"/>
      <c r="G63" s="8"/>
      <c r="H63" s="18"/>
      <c r="I63" s="15"/>
      <c r="J63" s="30"/>
    </row>
    <row r="64" spans="1:10" ht="18" customHeight="1" x14ac:dyDescent="0.3">
      <c r="A64" s="5"/>
      <c r="B64" s="9"/>
      <c r="C64" s="9"/>
      <c r="D64" s="9"/>
      <c r="E64" s="31"/>
      <c r="F64" s="8"/>
      <c r="G64" s="8"/>
      <c r="H64" s="18"/>
      <c r="I64" s="15"/>
      <c r="J64" s="30"/>
    </row>
    <row r="65" spans="1:10" ht="18" customHeight="1" x14ac:dyDescent="0.3">
      <c r="A65" s="5"/>
      <c r="B65" s="171" t="s">
        <v>17</v>
      </c>
      <c r="C65" s="171"/>
      <c r="D65" s="18"/>
      <c r="E65" s="32"/>
      <c r="F65" s="171" t="s">
        <v>18</v>
      </c>
      <c r="G65" s="171"/>
      <c r="H65" s="171"/>
      <c r="I65" s="171"/>
      <c r="J65" s="30"/>
    </row>
    <row r="66" spans="1:10" ht="18" customHeight="1" x14ac:dyDescent="0.3">
      <c r="A66" s="5"/>
      <c r="B66" s="150" t="s">
        <v>19</v>
      </c>
      <c r="C66" s="150"/>
      <c r="D66" s="11"/>
      <c r="E66" s="32"/>
      <c r="F66" s="11" t="s">
        <v>22</v>
      </c>
      <c r="G66" s="11"/>
      <c r="H66" s="18"/>
      <c r="I66" s="18"/>
      <c r="J66" s="30"/>
    </row>
    <row r="67" spans="1:10" ht="18" customHeight="1" x14ac:dyDescent="0.3">
      <c r="A67" s="5"/>
      <c r="B67" s="11"/>
      <c r="C67" s="11"/>
      <c r="D67" s="11"/>
      <c r="E67" s="32"/>
      <c r="F67" s="11"/>
      <c r="G67" s="11"/>
      <c r="H67" s="18"/>
      <c r="I67" s="18"/>
      <c r="J67" s="30"/>
    </row>
    <row r="68" spans="1:10" ht="18" customHeight="1" x14ac:dyDescent="0.25">
      <c r="B68" s="7"/>
    </row>
  </sheetData>
  <mergeCells count="33">
    <mergeCell ref="B14:C14"/>
    <mergeCell ref="C2:E2"/>
    <mergeCell ref="F2:I2"/>
    <mergeCell ref="G4:I4"/>
    <mergeCell ref="G5:I5"/>
    <mergeCell ref="G6:I6"/>
    <mergeCell ref="F8:I8"/>
    <mergeCell ref="B9:C9"/>
    <mergeCell ref="B10:C10"/>
    <mergeCell ref="B11:C11"/>
    <mergeCell ref="B12:C12"/>
    <mergeCell ref="B13:C13"/>
    <mergeCell ref="C24:F24"/>
    <mergeCell ref="C28:F28"/>
    <mergeCell ref="B15:C15"/>
    <mergeCell ref="B21:I21"/>
    <mergeCell ref="J21:K21"/>
    <mergeCell ref="C22:F22"/>
    <mergeCell ref="J22:K22"/>
    <mergeCell ref="C23:F23"/>
    <mergeCell ref="B66:C66"/>
    <mergeCell ref="C31:F31"/>
    <mergeCell ref="B54:C54"/>
    <mergeCell ref="F54:I54"/>
    <mergeCell ref="B55:C55"/>
    <mergeCell ref="B57:C57"/>
    <mergeCell ref="B65:C65"/>
    <mergeCell ref="F65:I65"/>
    <mergeCell ref="B38:H38"/>
    <mergeCell ref="B41:G41"/>
    <mergeCell ref="C36:F36"/>
    <mergeCell ref="C37:F37"/>
    <mergeCell ref="C35:F35"/>
  </mergeCells>
  <phoneticPr fontId="30" type="noConversion"/>
  <hyperlinks>
    <hyperlink ref="G16" r:id="rId1" xr:uid="{5BEE0B87-0CED-4388-8902-21515B428E30}"/>
  </hyperlinks>
  <printOptions horizontalCentered="1"/>
  <pageMargins left="0" right="0" top="0.5" bottom="0" header="0.31496062992126" footer="0.31496062992126"/>
  <pageSetup paperSize="9" scale="48" fitToHeight="0" orientation="portrait" r:id="rId2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046</vt:lpstr>
      <vt:lpstr>047</vt:lpstr>
      <vt:lpstr>051</vt:lpstr>
      <vt:lpstr>'046'!Print_Area</vt:lpstr>
      <vt:lpstr>'047'!Print_Area</vt:lpstr>
      <vt:lpstr>'051'!Print_Area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hqpresint 11</dc:creator>
  <cp:lastModifiedBy>Zainal Che hassan</cp:lastModifiedBy>
  <cp:lastPrinted>2026-07-17T06:26:20Z</cp:lastPrinted>
  <dcterms:created xsi:type="dcterms:W3CDTF">2023-03-21T03:19:54Z</dcterms:created>
  <dcterms:modified xsi:type="dcterms:W3CDTF">2026-08-11T05:54:17Z</dcterms:modified>
</cp:coreProperties>
</file>